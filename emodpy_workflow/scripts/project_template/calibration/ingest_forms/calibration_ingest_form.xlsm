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ckirkman\code\walkthrough\hiv_workflow\hiv_workflow\scripts\"/>
    </mc:Choice>
  </mc:AlternateContent>
  <xr:revisionPtr revIDLastSave="0" documentId="13_ncr:1_{E217AD5A-5EEA-4045-97FA-767D63C9D6EF}" xr6:coauthVersionLast="47" xr6:coauthVersionMax="47" xr10:uidLastSave="{00000000-0000-0000-0000-000000000000}"/>
  <bookViews>
    <workbookView xWindow="-120" yWindow="-120" windowWidth="38640" windowHeight="21240" firstSheet="1" activeTab="1" xr2:uid="{00000000-000D-0000-FFFF-FFFF00000000}"/>
  </bookViews>
  <sheets>
    <sheet name="General" sheetId="2" state="hidden" r:id="rId1"/>
    <sheet name="walkthrough" sheetId="12" r:id="rId2"/>
    <sheet name="Site" sheetId="11" r:id="rId3"/>
    <sheet name="Model Parameters" sheetId="1" r:id="rId4"/>
    <sheet name="OptimTool parameters" sheetId="4" state="hidden" r:id="rId5"/>
    <sheet name="Observations metadata" sheetId="6" r:id="rId6"/>
    <sheet name="Analyzers" sheetId="7" r:id="rId7"/>
    <sheet name="Options" sheetId="3" state="hidden" r:id="rId8"/>
  </sheets>
  <functionGroups builtInGroupCount="19"/>
  <definedNames>
    <definedName name="age_bin_selection">Options!$I$2:$I$4</definedName>
    <definedName name="age_bins" localSheetId="6">Analyzers!$D$7:$D$16</definedName>
    <definedName name="allowed_data_channels">Options!$H$2:$H$14</definedName>
    <definedName name="allowed_distributions">Options!$F$2:$F$4</definedName>
    <definedName name="boolean_selection">Options!$A$2:$A$4</definedName>
    <definedName name="calibration_methods">Options!$B$2:$B$5</definedName>
    <definedName name="channel_pop_scaling" localSheetId="5">'Observations metadata'!$A$12:$L$12</definedName>
    <definedName name="channels" localSheetId="6">Analyzers!$A$7:$A$16</definedName>
    <definedName name="custom_age_bins" localSheetId="6">Analyzers!$F$7:$F$16</definedName>
    <definedName name="diseases">Options!$C$2:$C$5</definedName>
    <definedName name="distributions" localSheetId="6">Analyzers!$B$7:$B$16</definedName>
    <definedName name="dynamic" localSheetId="3">'Model Parameters'!$B$2:$B$101</definedName>
    <definedName name="form_version" localSheetId="0">General!$G$1</definedName>
    <definedName name="gender_selection">Options!$D$2:$D$5</definedName>
    <definedName name="initial_value" localSheetId="3">'Model Parameters'!$C$2:$C$101</definedName>
    <definedName name="map_to" localSheetId="3">'Model Parameters'!$F$2:$F$101</definedName>
    <definedName name="max" localSheetId="3">'Model Parameters'!$E$2:$E$101</definedName>
    <definedName name="min" localSheetId="3">'Model Parameters'!$D$2:$D$101</definedName>
    <definedName name="n_center_repeats" localSheetId="4">'OptimTool parameters'!$B$3</definedName>
    <definedName name="n_replicates">General!$B$6</definedName>
    <definedName name="n_samples_per_iteration" localSheetId="4">'OptimTool parameters'!$B$4</definedName>
    <definedName name="name" localSheetId="3">'Model Parameters'!$A$2:$A$101</definedName>
    <definedName name="none">Options!$E$2</definedName>
    <definedName name="obs_asset_collection_id" comment="Use files associated with the given asset collection id for observations instead of filling them out in this workbook.">General!$E$8</definedName>
    <definedName name="obs_data_channels" localSheetId="5">'Observations metadata'!$A$10:$L$10</definedName>
    <definedName name="obs_metadata" localSheetId="5">'Observations metadata'!$A$17:$Y$36</definedName>
    <definedName name="pop_scaling_options">Options!$K$2:$K$4</definedName>
    <definedName name="provincialities" localSheetId="6">Analyzers!$C$7:$C$16</definedName>
    <definedName name="provinciality">Options!$G$2:$G$4</definedName>
    <definedName name="select_label">Options!$J$2</definedName>
    <definedName name="site_age_bin" localSheetId="2">Site!$B$10</definedName>
    <definedName name="site_name" localSheetId="2">Site!$B$7</definedName>
    <definedName name="site_node_names" localSheetId="2">Site!$B$12:$M$12</definedName>
    <definedName name="site_node_numbers" localSheetId="2">Site!$B$11:$M$11</definedName>
    <definedName name="site_population" localSheetId="2">Site!$B$8</definedName>
    <definedName name="site_year" localSheetId="2">Site!$B$9</definedName>
    <definedName name="use_existing_obs" localSheetId="0">General!$B$8</definedName>
    <definedName name="weights" localSheetId="6">Analyzers!$E$7:$E$16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3" l="1" a="1"/>
  <c r="H3" i="3" s="1"/>
  <c r="H14" i="3" l="1"/>
  <c r="H10" i="3"/>
  <c r="H6" i="3"/>
  <c r="H13" i="3"/>
  <c r="H9" i="3"/>
  <c r="H5" i="3"/>
  <c r="H12" i="3"/>
  <c r="H8" i="3"/>
  <c r="H4" i="3"/>
  <c r="H11" i="3"/>
  <c r="H7" i="3"/>
  <c r="B12" i="2"/>
  <c r="B11" i="2"/>
  <c r="F3" i="4" l="1"/>
  <c r="F5" i="4" s="1"/>
  <c r="B13" i="2" s="1"/>
</calcChain>
</file>

<file path=xl/sharedStrings.xml><?xml version="1.0" encoding="utf-8"?>
<sst xmlns="http://schemas.openxmlformats.org/spreadsheetml/2006/main" count="340" uniqueCount="157">
  <si>
    <t>name</t>
  </si>
  <si>
    <t>min</t>
  </si>
  <si>
    <t>max</t>
  </si>
  <si>
    <t>initial_value</t>
  </si>
  <si>
    <t>dynamic</t>
  </si>
  <si>
    <t>map_to</t>
  </si>
  <si>
    <t>Calibration Name</t>
  </si>
  <si>
    <t>Disease</t>
  </si>
  <si>
    <t>Method</t>
  </si>
  <si>
    <t>Site</t>
  </si>
  <si>
    <t>Selection unlocks/makes visible a method-specific sheet for parameters?</t>
  </si>
  <si>
    <t>boolean selection</t>
  </si>
  <si>
    <t>--select--</t>
  </si>
  <si>
    <t>calibration_methods</t>
  </si>
  <si>
    <t>OptimTool</t>
  </si>
  <si>
    <t>IMIS</t>
  </si>
  <si>
    <t>History Matching</t>
  </si>
  <si>
    <t>diseases</t>
  </si>
  <si>
    <t>Malaria</t>
  </si>
  <si>
    <t>HIV</t>
  </si>
  <si>
    <t>TB</t>
  </si>
  <si>
    <t>mu_r</t>
  </si>
  <si>
    <t>sigma_r</t>
  </si>
  <si>
    <t>Center repeats</t>
  </si>
  <si>
    <t>Samples per iteration</t>
  </si>
  <si>
    <t>Maximum iterations</t>
  </si>
  <si>
    <t>Replicate count</t>
  </si>
  <si>
    <t>1 or more, integer</t>
  </si>
  <si>
    <t>float</t>
  </si>
  <si>
    <t>Simulations per iteration</t>
  </si>
  <si>
    <t>per iteration</t>
  </si>
  <si>
    <t>parameter sets</t>
  </si>
  <si>
    <t>simulations</t>
  </si>
  <si>
    <t>samples per iteration - center repeats</t>
  </si>
  <si>
    <t>(samples per iteration - center repeats) * replicate count</t>
  </si>
  <si>
    <t>N static parameters</t>
  </si>
  <si>
    <t>N dynamic parameters</t>
  </si>
  <si>
    <t>Note: not using named ranges in these calcs yet</t>
  </si>
  <si>
    <t>Note: not using named ranges in this calc yet</t>
  </si>
  <si>
    <t>Summary from other sheets</t>
  </si>
  <si>
    <t># create a mapping function from string-disease pair -&gt; site class in python (to import/use dynamically)?</t>
  </si>
  <si>
    <t>Note: This method-specific sheet would likely be exposed/hidden by VBA depending on whether it is selected on the General sheet.</t>
  </si>
  <si>
    <t>gender selection</t>
  </si>
  <si>
    <t>Female</t>
  </si>
  <si>
    <t>Male</t>
  </si>
  <si>
    <t>Both</t>
  </si>
  <si>
    <t>Use existing observations?</t>
  </si>
  <si>
    <t>Data Channels</t>
  </si>
  <si>
    <t>Notes:</t>
  </si>
  <si>
    <t>If TRUE, asset collection id:</t>
  </si>
  <si>
    <t>none</t>
  </si>
  <si>
    <t/>
  </si>
  <si>
    <t># it would be great to store observations in a retrievable location. AssetManager is one current option.</t>
  </si>
  <si>
    <t># not currently enforced</t>
  </si>
  <si>
    <t>One 'Obs' sheet will be provided per data channel</t>
  </si>
  <si>
    <t>When this page is complete, click the "Create obs sheets" button.</t>
  </si>
  <si>
    <t>Warning:  All existing "Obs-CHANNEL" sheets NOT specified</t>
  </si>
  <si>
    <t xml:space="preserve"> by "Data Channels" below will be deleted.</t>
  </si>
  <si>
    <t>Data Channels can be added later and sheets created with no data loss</t>
  </si>
  <si>
    <t>Form Version:</t>
  </si>
  <si>
    <t>Channel</t>
  </si>
  <si>
    <t>Provinciality</t>
  </si>
  <si>
    <t>provinciality</t>
  </si>
  <si>
    <t>Provincial</t>
  </si>
  <si>
    <t>Non-provincial</t>
  </si>
  <si>
    <t>Gaussian</t>
  </si>
  <si>
    <t>Beta</t>
  </si>
  <si>
    <t>Weight</t>
  </si>
  <si>
    <t>Distribution</t>
  </si>
  <si>
    <t>allowed_data_channels</t>
  </si>
  <si>
    <t>weight is a float between [0, 1]</t>
  </si>
  <si>
    <t>age_bin_selection</t>
  </si>
  <si>
    <t>All matching</t>
  </si>
  <si>
    <t>Custom</t>
  </si>
  <si>
    <t>Age bins</t>
  </si>
  <si>
    <t>Custom age bins</t>
  </si>
  <si>
    <t>allowed_distributions</t>
  </si>
  <si>
    <t>If 'Age bin' is 'Custom', you must provide a comma-separated list of desired age bins in ':' format, no spaces. E.g. [15:25),[5:50)</t>
  </si>
  <si>
    <t>If channel is set, all details in the row will be expected</t>
  </si>
  <si>
    <t>select_label</t>
  </si>
  <si>
    <t>Population</t>
  </si>
  <si>
    <t>Year</t>
  </si>
  <si>
    <t>Age bin</t>
  </si>
  <si>
    <t>Node number</t>
  </si>
  <si>
    <t>Node name</t>
  </si>
  <si>
    <t>Notes</t>
  </si>
  <si>
    <t>Node numbers are integers &gt;= 1</t>
  </si>
  <si>
    <t>Site name</t>
  </si>
  <si>
    <t>Age bin is in ':' format, no spaces. E.g. [15:65)</t>
  </si>
  <si>
    <t>Scaling</t>
  </si>
  <si>
    <t>Non-scaling</t>
  </si>
  <si>
    <t>pop_scaling_options</t>
  </si>
  <si>
    <t>Scaling by population in simulations</t>
  </si>
  <si>
    <t>Year is an integer</t>
  </si>
  <si>
    <t>Do not add channels/create obs sheets for channels you have no data for (analysis errors)</t>
  </si>
  <si>
    <t>TODO: remove map_to from this sheet and parsing code</t>
  </si>
  <si>
    <t>TODO: remove dynamic from this sheet and parsing code (must always be TRUE)</t>
  </si>
  <si>
    <t>This information is used for 1) scaling the population data in simulations and 2) mapping node numbers to names to match reference data provided on other tabs of this excel sheet</t>
  </si>
  <si>
    <t>Fill in the 'Site' sheet.</t>
  </si>
  <si>
    <t>Fill in the 'Observations metadata' sheet</t>
  </si>
  <si>
    <t>Add names for your observational data channels to use in model calibration</t>
  </si>
  <si>
    <t>Indicate for each (just below the names) if the channel scales by population size (e.g. population count, counts of people on ART) or does not (e.g. a percentage like Prevalence)</t>
  </si>
  <si>
    <t>Click the 'Create Obs Sheets' button</t>
  </si>
  <si>
    <t>Data channel names currently available for use:</t>
  </si>
  <si>
    <t>Prevalence</t>
  </si>
  <si>
    <t>OnART</t>
  </si>
  <si>
    <t>Incidence</t>
  </si>
  <si>
    <t>ARTCoverage</t>
  </si>
  <si>
    <t>ARTPrevalence</t>
  </si>
  <si>
    <t>Scales by population:</t>
  </si>
  <si>
    <t>If you wish to remove any data channels, first delete the "Obs-CHANNEL" tab, delete the "Data Channel" entry for CHANNEL below and reset the scaling to "--select--". Then click the "Create obs sheets" button.</t>
  </si>
  <si>
    <t>On each "Obs-CHANNEL" sheet created:</t>
  </si>
  <si>
    <t>Gender</t>
  </si>
  <si>
    <t>AgeBin</t>
  </si>
  <si>
    <t>Province</t>
  </si>
  <si>
    <t>On the created "Obs-CHANNEL" sheets, the data stratifiers must currently be:</t>
  </si>
  <si>
    <t>Accepted values for each stratifier colun:</t>
  </si>
  <si>
    <t>All</t>
  </si>
  <si>
    <r>
      <rPr>
        <b/>
        <sz val="11"/>
        <color rgb="FFC00000"/>
        <rFont val="Calibri"/>
        <family val="2"/>
        <scheme val="minor"/>
      </rPr>
      <t>[</t>
    </r>
    <r>
      <rPr>
        <b/>
        <sz val="11"/>
        <rFont val="Calibri"/>
        <family val="2"/>
        <scheme val="minor"/>
      </rPr>
      <t>min_age</t>
    </r>
    <r>
      <rPr>
        <b/>
        <sz val="11"/>
        <color rgb="FFC00000"/>
        <rFont val="Calibri"/>
        <family val="2"/>
        <scheme val="minor"/>
      </rPr>
      <t>:</t>
    </r>
    <r>
      <rPr>
        <b/>
        <sz val="11"/>
        <rFont val="Calibri"/>
        <family val="2"/>
        <scheme val="minor"/>
      </rPr>
      <t>max_age</t>
    </r>
    <r>
      <rPr>
        <b/>
        <sz val="11"/>
        <color rgb="FFC00000"/>
        <rFont val="Calibri"/>
        <family val="2"/>
        <scheme val="minor"/>
      </rPr>
      <t>)</t>
    </r>
    <r>
      <rPr>
        <sz val="11"/>
        <rFont val="Calibri"/>
        <family val="2"/>
        <scheme val="minor"/>
      </rPr>
      <t xml:space="preserve"> formatted string</t>
    </r>
  </si>
  <si>
    <r>
      <rPr>
        <b/>
        <sz val="11"/>
        <color theme="1"/>
        <rFont val="Calibri"/>
        <family val="2"/>
        <scheme val="minor"/>
      </rPr>
      <t>All</t>
    </r>
    <r>
      <rPr>
        <sz val="11"/>
        <color theme="1"/>
        <rFont val="Calibri"/>
        <family val="2"/>
        <scheme val="minor"/>
      </rPr>
      <t xml:space="preserve"> (for data aggregated across all provinces in the simulation) or an </t>
    </r>
    <r>
      <rPr>
        <b/>
        <sz val="11"/>
        <color theme="1"/>
        <rFont val="Calibri"/>
        <family val="2"/>
        <scheme val="minor"/>
      </rPr>
      <t>exactly-matching 'Node name' from the 'Site' tab</t>
    </r>
  </si>
  <si>
    <t>Any integer year &gt;= 1961</t>
  </si>
  <si>
    <t>Add stratifiers (noted on 'Observations metadata' sheet)</t>
  </si>
  <si>
    <t>Click the '(Re)create obs entry grid' button</t>
  </si>
  <si>
    <t>Add data to be used with calibration in the colored grid</t>
  </si>
  <si>
    <t>Delete the uncertainty channel you do not need in the 'Additional columns' row</t>
  </si>
  <si>
    <r>
      <t xml:space="preserve">For a </t>
    </r>
    <r>
      <rPr>
        <b/>
        <sz val="11"/>
        <color theme="1"/>
        <rFont val="Calibri"/>
        <family val="2"/>
        <scheme val="minor"/>
      </rPr>
      <t>'Scaling'</t>
    </r>
    <r>
      <rPr>
        <sz val="11"/>
        <color theme="1"/>
        <rFont val="Calibri"/>
        <family val="2"/>
        <scheme val="minor"/>
      </rPr>
      <t xml:space="preserve"> channel, </t>
    </r>
    <r>
      <rPr>
        <b/>
        <sz val="11"/>
        <color theme="1"/>
        <rFont val="Calibri"/>
        <family val="2"/>
        <scheme val="minor"/>
      </rPr>
      <t>delete 'effective_count'</t>
    </r>
  </si>
  <si>
    <r>
      <t xml:space="preserve">For a </t>
    </r>
    <r>
      <rPr>
        <b/>
        <sz val="11"/>
        <color theme="1"/>
        <rFont val="Calibri"/>
        <family val="2"/>
        <scheme val="minor"/>
      </rPr>
      <t>'Non-scaling'</t>
    </r>
    <r>
      <rPr>
        <sz val="11"/>
        <color theme="1"/>
        <rFont val="Calibri"/>
        <family val="2"/>
        <scheme val="minor"/>
      </rPr>
      <t xml:space="preserve"> channel, </t>
    </r>
    <r>
      <rPr>
        <b/>
        <sz val="11"/>
        <color theme="1"/>
        <rFont val="Calibri"/>
        <family val="2"/>
        <scheme val="minor"/>
      </rPr>
      <t>delete 'two_sigma'</t>
    </r>
  </si>
  <si>
    <t>Add channel analyzers for calibration</t>
  </si>
  <si>
    <r>
      <rPr>
        <b/>
        <sz val="11"/>
        <color theme="1"/>
        <rFont val="Calibri"/>
        <family val="2"/>
        <scheme val="minor"/>
      </rPr>
      <t>Each channel may have 0 or more analyzers specified</t>
    </r>
    <r>
      <rPr>
        <sz val="11"/>
        <color theme="1"/>
        <rFont val="Calibri"/>
        <family val="2"/>
        <scheme val="minor"/>
      </rPr>
      <t xml:space="preserve"> (meaning, you can tell calibration to ignore certain data channels </t>
    </r>
    <r>
      <rPr>
        <b/>
        <sz val="11"/>
        <color theme="1"/>
        <rFont val="Calibri"/>
        <family val="2"/>
        <scheme val="minor"/>
      </rPr>
      <t>or</t>
    </r>
    <r>
      <rPr>
        <sz val="11"/>
        <color theme="1"/>
        <rFont val="Calibri"/>
        <family val="2"/>
        <scheme val="minor"/>
      </rPr>
      <t xml:space="preserve"> analyze individual channels in more than one way)</t>
    </r>
  </si>
  <si>
    <t>Select a channel from a the drop down box</t>
  </si>
  <si>
    <t>Select the statistical distribution to use:</t>
  </si>
  <si>
    <r>
      <t xml:space="preserve">For </t>
    </r>
    <r>
      <rPr>
        <b/>
        <sz val="11"/>
        <color theme="1"/>
        <rFont val="Calibri"/>
        <family val="2"/>
        <scheme val="minor"/>
      </rPr>
      <t>'Scaling'</t>
    </r>
    <r>
      <rPr>
        <sz val="11"/>
        <color theme="1"/>
        <rFont val="Calibri"/>
        <family val="2"/>
        <scheme val="minor"/>
      </rPr>
      <t xml:space="preserve"> channels, select </t>
    </r>
    <r>
      <rPr>
        <b/>
        <sz val="11"/>
        <color theme="1"/>
        <rFont val="Calibri"/>
        <family val="2"/>
        <scheme val="minor"/>
      </rPr>
      <t>'Gaussian'</t>
    </r>
  </si>
  <si>
    <r>
      <t xml:space="preserve">For </t>
    </r>
    <r>
      <rPr>
        <b/>
        <sz val="11"/>
        <color theme="1"/>
        <rFont val="Calibri"/>
        <family val="2"/>
        <scheme val="minor"/>
      </rPr>
      <t>'Non-scaling'</t>
    </r>
    <r>
      <rPr>
        <sz val="11"/>
        <color theme="1"/>
        <rFont val="Calibri"/>
        <family val="2"/>
        <scheme val="minor"/>
      </rPr>
      <t xml:space="preserve"> channels, select </t>
    </r>
    <r>
      <rPr>
        <b/>
        <sz val="11"/>
        <color theme="1"/>
        <rFont val="Calibri"/>
        <family val="2"/>
        <scheme val="minor"/>
      </rPr>
      <t>'Beta'</t>
    </r>
  </si>
  <si>
    <t>To add an analyzer, on a blank row … :</t>
  </si>
  <si>
    <t>Select the provinciality</t>
  </si>
  <si>
    <t>To analyze 'All' province data, select 'Non-provincial'</t>
  </si>
  <si>
    <t>To analyze data from each province separately, select 'Provincial'</t>
  </si>
  <si>
    <t>Select population age bins to analyze</t>
  </si>
  <si>
    <r>
      <t xml:space="preserve">To analyze </t>
    </r>
    <r>
      <rPr>
        <b/>
        <sz val="11"/>
        <color theme="1"/>
        <rFont val="Calibri"/>
        <family val="2"/>
        <scheme val="minor"/>
      </rPr>
      <t>all matching age bins</t>
    </r>
    <r>
      <rPr>
        <sz val="11"/>
        <color theme="1"/>
        <rFont val="Calibri"/>
        <family val="2"/>
        <scheme val="minor"/>
      </rPr>
      <t xml:space="preserve"> between the model simulations and reference data, select </t>
    </r>
    <r>
      <rPr>
        <b/>
        <sz val="11"/>
        <color theme="1"/>
        <rFont val="Calibri"/>
        <family val="2"/>
        <scheme val="minor"/>
      </rPr>
      <t>'All matching'</t>
    </r>
  </si>
  <si>
    <t>Custom age bin format is noted on the 'Analyzers' sheet</t>
  </si>
  <si>
    <r>
      <t>To analyze</t>
    </r>
    <r>
      <rPr>
        <b/>
        <sz val="11"/>
        <color theme="1"/>
        <rFont val="Calibri"/>
        <family val="2"/>
        <scheme val="minor"/>
      </rPr>
      <t xml:space="preserve"> a custom subset</t>
    </r>
    <r>
      <rPr>
        <sz val="11"/>
        <color theme="1"/>
        <rFont val="Calibri"/>
        <family val="2"/>
        <scheme val="minor"/>
      </rPr>
      <t xml:space="preserve"> of the matching age bins, select 'Custom'</t>
    </r>
  </si>
  <si>
    <t>Set the analyzer weight</t>
  </si>
  <si>
    <t>Between 0 and 1. The fraction of the total calibration weight that an analyzer will be given. The higher the number, the more the calibration routine will enforce a better match between simulations and reference data.</t>
  </si>
  <si>
    <t>Add model parameters</t>
  </si>
  <si>
    <r>
      <t xml:space="preserve">Note: You must always select </t>
    </r>
    <r>
      <rPr>
        <b/>
        <sz val="11"/>
        <color theme="1"/>
        <rFont val="Calibri"/>
        <family val="2"/>
        <scheme val="minor"/>
      </rPr>
      <t>TRUE</t>
    </r>
    <r>
      <rPr>
        <sz val="11"/>
        <color theme="1"/>
        <rFont val="Calibri"/>
        <family val="2"/>
        <scheme val="minor"/>
      </rPr>
      <t xml:space="preserve"> for </t>
    </r>
    <r>
      <rPr>
        <b/>
        <sz val="11"/>
        <color theme="1"/>
        <rFont val="Calibri"/>
        <family val="2"/>
        <scheme val="minor"/>
      </rPr>
      <t>'dynamic'</t>
    </r>
    <r>
      <rPr>
        <sz val="11"/>
        <color theme="1"/>
        <rFont val="Calibri"/>
        <family val="2"/>
        <scheme val="minor"/>
      </rPr>
      <t xml:space="preserve"> now</t>
    </r>
  </si>
  <si>
    <t>List every model (frame) parameter you wish to allow the calibration routine to modify</t>
  </si>
  <si>
    <r>
      <rPr>
        <b/>
        <sz val="11"/>
        <color theme="1"/>
        <rFont val="Calibri"/>
        <family val="2"/>
        <scheme val="minor"/>
      </rPr>
      <t>name</t>
    </r>
    <r>
      <rPr>
        <sz val="11"/>
        <color theme="1"/>
        <rFont val="Calibri"/>
        <family val="2"/>
        <scheme val="minor"/>
      </rPr>
      <t xml:space="preserve"> is the exact EMOD config parameter name </t>
    </r>
    <r>
      <rPr>
        <b/>
        <sz val="11"/>
        <color theme="1"/>
        <rFont val="Calibri"/>
        <family val="2"/>
        <scheme val="minor"/>
      </rPr>
      <t>or</t>
    </r>
    <r>
      <rPr>
        <sz val="11"/>
        <color theme="1"/>
        <rFont val="Calibri"/>
        <family val="2"/>
        <scheme val="minor"/>
      </rPr>
      <t xml:space="preserve"> other campaign or demographics hyperparameter</t>
    </r>
  </si>
  <si>
    <r>
      <t>initial_value</t>
    </r>
    <r>
      <rPr>
        <sz val="11"/>
        <color theme="1"/>
        <rFont val="Calibri"/>
        <family val="2"/>
        <scheme val="minor"/>
      </rPr>
      <t xml:space="preserve"> is the starting point for calibration for each parameter</t>
    </r>
  </si>
  <si>
    <t>min/max</t>
  </si>
  <si>
    <t>The range of values that the calibration routine can consider for each parameter</t>
  </si>
  <si>
    <r>
      <t xml:space="preserve">The fewer paramters to calibrate </t>
    </r>
    <r>
      <rPr>
        <b/>
        <sz val="11"/>
        <color theme="1"/>
        <rFont val="Calibri"/>
        <family val="2"/>
        <scheme val="minor"/>
      </rPr>
      <t>and</t>
    </r>
    <r>
      <rPr>
        <sz val="11"/>
        <color theme="1"/>
        <rFont val="Calibri"/>
        <family val="2"/>
        <scheme val="minor"/>
      </rPr>
      <t xml:space="preserve"> the smaller the range for each parameter yields </t>
    </r>
    <r>
      <rPr>
        <b/>
        <sz val="11"/>
        <color theme="1"/>
        <rFont val="Calibri"/>
        <family val="2"/>
        <scheme val="minor"/>
      </rPr>
      <t>better</t>
    </r>
    <r>
      <rPr>
        <sz val="11"/>
        <color theme="1"/>
        <rFont val="Calibri"/>
        <family val="2"/>
        <scheme val="minor"/>
      </rPr>
      <t xml:space="preserve"> calibrations.</t>
    </r>
  </si>
  <si>
    <t>It is allowed and possible to run a calibration for a while using broad min/max ranges</t>
  </si>
  <si>
    <r>
      <t xml:space="preserve">… and then edit the ingest form to </t>
    </r>
    <r>
      <rPr>
        <b/>
        <sz val="11"/>
        <color theme="1"/>
        <rFont val="Calibri"/>
        <family val="2"/>
        <scheme val="minor"/>
      </rPr>
      <t>reduce</t>
    </r>
    <r>
      <rPr>
        <sz val="11"/>
        <color theme="1"/>
        <rFont val="Calibri"/>
        <family val="2"/>
        <scheme val="minor"/>
      </rPr>
      <t xml:space="preserve"> the ranges considered later for fine tuning the calibration</t>
    </r>
  </si>
  <si>
    <t>… but do not add or remove parameters from 'Model parameters' sheet once calibration begins.</t>
  </si>
  <si>
    <t>General notes:</t>
  </si>
  <si>
    <r>
      <t xml:space="preserve">… but you </t>
    </r>
    <r>
      <rPr>
        <b/>
        <sz val="11"/>
        <color theme="1"/>
        <rFont val="Calibri"/>
        <family val="2"/>
        <scheme val="minor"/>
      </rPr>
      <t>do</t>
    </r>
    <r>
      <rPr>
        <sz val="11"/>
        <color theme="1"/>
        <rFont val="Calibri"/>
        <family val="2"/>
        <scheme val="minor"/>
      </rPr>
      <t xml:space="preserve"> need to know where to start</t>
    </r>
  </si>
  <si>
    <t>Now, in your manifest.py file in your project directory, ensure your copy of this xlsm ingest file is specified in order to use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</si>
</sst>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name val="Calibri"/>
      <family val="2"/>
      <scheme val="minor"/>
    </font>
    <font>
      <sz val="11"/>
      <color rgb="FFC00000"/>
      <name val="Calibri"/>
      <family val="2"/>
      <scheme val="minor"/>
    </font>
    <font>
      <sz val="11"/>
      <color rgb="FFFF0000"/>
      <name val="Calibri"/>
      <family val="2"/>
    </font>
    <font>
      <b/>
      <sz val="11"/>
      <color theme="1"/>
      <name val="Calibri"/>
      <family val="2"/>
      <scheme val="minor"/>
    </font>
    <font>
      <b/>
      <sz val="11"/>
      <color rgb="FFC00000"/>
      <name val="Calibri"/>
      <family val="2"/>
      <scheme val="minor"/>
    </font>
    <font>
      <b/>
      <sz val="11"/>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lightTrellis">
        <fgColor theme="1" tint="0.24994659260841701"/>
        <bgColor theme="7" tint="0.79998168889431442"/>
      </patternFill>
    </fill>
    <fill>
      <patternFill patternType="lightTrellis">
        <fgColor theme="1" tint="0.24994659260841701"/>
        <bgColor theme="9" tint="0.79998168889431442"/>
      </patternFill>
    </fill>
    <fill>
      <patternFill patternType="solid">
        <fgColor theme="2" tint="-0.249977111117893"/>
        <bgColor indexed="64"/>
      </patternFill>
    </fill>
    <fill>
      <patternFill patternType="lightTrellis">
        <bgColor theme="2" tint="-9.9948118533890809E-2"/>
      </patternFill>
    </fill>
  </fills>
  <borders count="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top style="thin">
        <color indexed="64"/>
      </top>
      <bottom style="thin">
        <color indexed="64"/>
      </bottom>
      <diagonal/>
    </border>
    <border>
      <left style="thin">
        <color auto="1"/>
      </left>
      <right style="thin">
        <color auto="1"/>
      </right>
      <top/>
      <bottom/>
      <diagonal/>
    </border>
  </borders>
  <cellStyleXfs count="1">
    <xf numFmtId="0" fontId="0" fillId="0" borderId="0"/>
  </cellStyleXfs>
  <cellXfs count="45">
    <xf numFmtId="0" fontId="0" fillId="0" borderId="0" xfId="0"/>
    <xf numFmtId="0" fontId="0" fillId="0" borderId="0" xfId="0" quotePrefix="1"/>
    <xf numFmtId="0" fontId="0" fillId="0" borderId="0" xfId="0" applyFill="1"/>
    <xf numFmtId="0" fontId="0" fillId="4" borderId="0" xfId="0" applyFill="1"/>
    <xf numFmtId="0" fontId="1" fillId="3" borderId="2" xfId="0" applyFont="1" applyFill="1" applyBorder="1"/>
    <xf numFmtId="0" fontId="1" fillId="2" borderId="2" xfId="0" applyFont="1" applyFill="1" applyBorder="1"/>
    <xf numFmtId="0" fontId="0" fillId="3" borderId="2" xfId="0" applyFill="1" applyBorder="1"/>
    <xf numFmtId="0" fontId="0" fillId="2" borderId="2" xfId="0" applyFill="1" applyBorder="1"/>
    <xf numFmtId="0" fontId="0" fillId="0" borderId="2" xfId="0" applyBorder="1"/>
    <xf numFmtId="0" fontId="0" fillId="4" borderId="2" xfId="0" applyFill="1" applyBorder="1"/>
    <xf numFmtId="0" fontId="1" fillId="4" borderId="3" xfId="0" applyFont="1" applyFill="1" applyBorder="1"/>
    <xf numFmtId="0" fontId="1" fillId="4" borderId="2" xfId="0" applyFont="1" applyFill="1" applyBorder="1"/>
    <xf numFmtId="0" fontId="0" fillId="0" borderId="0" xfId="0" applyFill="1" applyBorder="1"/>
    <xf numFmtId="0" fontId="2" fillId="0" borderId="0" xfId="0" applyFont="1" applyFill="1" applyBorder="1"/>
    <xf numFmtId="0" fontId="2" fillId="0" borderId="0" xfId="0" quotePrefix="1" applyFont="1"/>
    <xf numFmtId="0" fontId="0" fillId="4" borderId="1" xfId="0" applyFill="1" applyBorder="1"/>
    <xf numFmtId="0" fontId="2" fillId="0" borderId="0" xfId="0" applyFont="1"/>
    <xf numFmtId="0" fontId="2" fillId="0" borderId="0" xfId="0" applyFont="1" applyAlignment="1"/>
    <xf numFmtId="0" fontId="2" fillId="0" borderId="1" xfId="0" applyFont="1" applyBorder="1"/>
    <xf numFmtId="11" fontId="1" fillId="2" borderId="2" xfId="0" applyNumberFormat="1" applyFont="1" applyFill="1" applyBorder="1"/>
    <xf numFmtId="11" fontId="1" fillId="3" borderId="2" xfId="0" applyNumberFormat="1" applyFont="1" applyFill="1" applyBorder="1"/>
    <xf numFmtId="0" fontId="0" fillId="5" borderId="2" xfId="0" applyFill="1" applyBorder="1" applyAlignment="1">
      <alignment wrapText="1"/>
    </xf>
    <xf numFmtId="0" fontId="0" fillId="6" borderId="2" xfId="0" applyFill="1" applyBorder="1"/>
    <xf numFmtId="0" fontId="0" fillId="5" borderId="2" xfId="0" applyFill="1" applyBorder="1"/>
    <xf numFmtId="0" fontId="1" fillId="0" borderId="0" xfId="0" applyFont="1"/>
    <xf numFmtId="0" fontId="0" fillId="4" borderId="0" xfId="0" quotePrefix="1" applyFill="1"/>
    <xf numFmtId="0" fontId="0" fillId="7" borderId="0" xfId="0" quotePrefix="1" applyFill="1"/>
    <xf numFmtId="0" fontId="0" fillId="7" borderId="0" xfId="0" applyFill="1"/>
    <xf numFmtId="0" fontId="0" fillId="3" borderId="2" xfId="0" quotePrefix="1" applyFill="1" applyBorder="1"/>
    <xf numFmtId="0" fontId="0" fillId="3" borderId="3" xfId="0" applyFill="1" applyBorder="1"/>
    <xf numFmtId="0" fontId="0" fillId="2" borderId="4" xfId="0" applyFill="1" applyBorder="1"/>
    <xf numFmtId="0" fontId="0" fillId="2" borderId="3" xfId="0" applyFill="1" applyBorder="1"/>
    <xf numFmtId="0" fontId="0" fillId="3" borderId="5" xfId="0" applyFill="1" applyBorder="1"/>
    <xf numFmtId="0" fontId="0" fillId="2" borderId="5" xfId="0" applyFill="1" applyBorder="1"/>
    <xf numFmtId="0" fontId="0" fillId="0" borderId="6" xfId="0" applyFill="1" applyBorder="1"/>
    <xf numFmtId="0" fontId="2" fillId="0" borderId="6" xfId="0" applyFont="1" applyFill="1" applyBorder="1"/>
    <xf numFmtId="0" fontId="1" fillId="0" borderId="0" xfId="0" applyFont="1" applyFill="1" applyBorder="1"/>
    <xf numFmtId="0" fontId="0" fillId="8" borderId="2" xfId="0" applyFill="1" applyBorder="1"/>
    <xf numFmtId="0" fontId="1" fillId="8" borderId="2" xfId="0" applyFont="1" applyFill="1" applyBorder="1"/>
    <xf numFmtId="0" fontId="0" fillId="0" borderId="7" xfId="0" applyFill="1" applyBorder="1"/>
    <xf numFmtId="0" fontId="0" fillId="0" borderId="0" xfId="0" applyProtection="1">
      <protection locked="0"/>
    </xf>
    <xf numFmtId="0" fontId="4" fillId="0" borderId="0" xfId="0" applyFont="1" applyFill="1" applyBorder="1"/>
    <xf numFmtId="0" fontId="6" fillId="0" borderId="0" xfId="0" applyFont="1" applyFill="1" applyBorder="1"/>
    <xf numFmtId="0" fontId="4" fillId="0" borderId="0" xfId="0" applyFont="1" applyProtection="1">
      <protection locked="0"/>
    </xf>
    <xf numFmtId="0" fontId="4" fillId="0" borderId="0" xfId="0" applyFont="1"/>
  </cellXfs>
  <cellStyles count="1">
    <cellStyle name="Normal" xfId="0" builtinId="0"/>
  </cellStyles>
  <dxfs count="14">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ill>
        <patternFill patternType="lightTrellis">
          <fgColor theme="1" tint="0.24994659260841701"/>
        </patternFill>
      </fill>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133350</xdr:rowOff>
        </xdr:from>
        <xdr:to>
          <xdr:col>9</xdr:col>
          <xdr:colOff>581025</xdr:colOff>
          <xdr:row>3</xdr:row>
          <xdr:rowOff>123825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Create</a:t>
              </a:r>
            </a:p>
            <a:p>
              <a:pPr algn="ctr" rtl="0">
                <a:defRPr sz="1000"/>
              </a:pPr>
              <a:r>
                <a:rPr lang="en-US" sz="1100" b="0" i="0" u="none" strike="noStrike" baseline="0">
                  <a:solidFill>
                    <a:srgbClr val="FF0000"/>
                  </a:solidFill>
                  <a:latin typeface="Calibri"/>
                  <a:cs typeface="Calibri"/>
                </a:rPr>
                <a:t> obs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3"/>
  <sheetViews>
    <sheetView workbookViewId="0">
      <selection activeCell="B8" sqref="B8"/>
    </sheetView>
  </sheetViews>
  <sheetFormatPr defaultRowHeight="15" x14ac:dyDescent="0.25"/>
  <cols>
    <col min="1" max="1" width="24.42578125" bestFit="1" customWidth="1"/>
    <col min="2" max="2" width="19.28515625" customWidth="1"/>
    <col min="4" max="4" width="22.7109375" bestFit="1" customWidth="1"/>
  </cols>
  <sheetData>
    <row r="1" spans="1:8" x14ac:dyDescent="0.25">
      <c r="A1" s="21" t="s">
        <v>6</v>
      </c>
      <c r="B1" s="22"/>
      <c r="E1" s="9" t="s">
        <v>59</v>
      </c>
      <c r="F1" s="9"/>
      <c r="G1" s="9">
        <v>0.3</v>
      </c>
    </row>
    <row r="2" spans="1:8" x14ac:dyDescent="0.25">
      <c r="A2" s="23" t="s">
        <v>8</v>
      </c>
      <c r="B2" s="22" t="s">
        <v>12</v>
      </c>
      <c r="C2" s="14" t="s">
        <v>10</v>
      </c>
    </row>
    <row r="3" spans="1:8" x14ac:dyDescent="0.25">
      <c r="A3" s="23" t="s">
        <v>7</v>
      </c>
      <c r="B3" s="22" t="s">
        <v>12</v>
      </c>
    </row>
    <row r="4" spans="1:8" x14ac:dyDescent="0.25">
      <c r="A4" s="23" t="s">
        <v>9</v>
      </c>
      <c r="B4" s="22"/>
      <c r="C4" s="16" t="s">
        <v>40</v>
      </c>
    </row>
    <row r="5" spans="1:8" x14ac:dyDescent="0.25">
      <c r="A5" s="23" t="s">
        <v>25</v>
      </c>
      <c r="B5" s="22"/>
      <c r="C5" s="1" t="s">
        <v>27</v>
      </c>
    </row>
    <row r="6" spans="1:8" x14ac:dyDescent="0.25">
      <c r="A6" s="23" t="s">
        <v>26</v>
      </c>
      <c r="B6" s="22"/>
      <c r="C6" s="1" t="s">
        <v>27</v>
      </c>
    </row>
    <row r="8" spans="1:8" x14ac:dyDescent="0.25">
      <c r="A8" s="4" t="s">
        <v>46</v>
      </c>
      <c r="B8" s="7" t="b">
        <v>0</v>
      </c>
      <c r="D8" s="22" t="s">
        <v>49</v>
      </c>
      <c r="E8" s="23"/>
      <c r="F8" s="16" t="s">
        <v>52</v>
      </c>
      <c r="H8" s="16"/>
    </row>
    <row r="10" spans="1:8" x14ac:dyDescent="0.25">
      <c r="A10" s="15" t="s">
        <v>39</v>
      </c>
    </row>
    <row r="11" spans="1:8" x14ac:dyDescent="0.25">
      <c r="A11" s="3" t="s">
        <v>35</v>
      </c>
      <c r="B11" s="3">
        <f>COUNTIF('Model Parameters'!B2:B101, FALSE)</f>
        <v>0</v>
      </c>
      <c r="C11" s="14" t="s">
        <v>37</v>
      </c>
    </row>
    <row r="12" spans="1:8" x14ac:dyDescent="0.25">
      <c r="A12" s="3" t="s">
        <v>36</v>
      </c>
      <c r="B12" s="3">
        <f>COUNTIF('Model Parameters'!B2:B101, TRUE)</f>
        <v>0</v>
      </c>
    </row>
    <row r="13" spans="1:8" x14ac:dyDescent="0.25">
      <c r="A13" s="3" t="s">
        <v>29</v>
      </c>
      <c r="B13" s="3">
        <f>'OptimTool parameters'!$F$5</f>
        <v>0</v>
      </c>
      <c r="C13" s="14" t="s">
        <v>37</v>
      </c>
    </row>
  </sheetData>
  <conditionalFormatting sqref="E8">
    <cfRule type="expression" dxfId="13" priority="1">
      <formula>AND(use_existing_obs = TRUE, obs_asset_collection_id = none)</formula>
    </cfRule>
  </conditionalFormatting>
  <dataValidations count="4">
    <dataValidation type="list" allowBlank="1" showInputMessage="1" showErrorMessage="1" sqref="B2" xr:uid="{00000000-0002-0000-0000-000000000000}">
      <formula1>calibration_methods</formula1>
    </dataValidation>
    <dataValidation type="list" allowBlank="1" showInputMessage="1" showErrorMessage="1" sqref="B3" xr:uid="{00000000-0002-0000-0000-000001000000}">
      <formula1>diseases</formula1>
    </dataValidation>
    <dataValidation type="whole" operator="greaterThanOrEqual" allowBlank="1" showInputMessage="1" showErrorMessage="1" sqref="B5:B6" xr:uid="{00000000-0002-0000-0000-000002000000}">
      <formula1>1</formula1>
    </dataValidation>
    <dataValidation type="list" allowBlank="1" showInputMessage="1" showErrorMessage="1" sqref="B8" xr:uid="{00000000-0002-0000-0000-000003000000}">
      <formula1>boolean_selection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9933-5200-49B0-880B-A64E04F65C55}">
  <dimension ref="A1:E41"/>
  <sheetViews>
    <sheetView tabSelected="1" workbookViewId="0"/>
  </sheetViews>
  <sheetFormatPr defaultRowHeight="15" x14ac:dyDescent="0.25"/>
  <sheetData>
    <row r="1" spans="1:3" x14ac:dyDescent="0.25">
      <c r="A1" t="s">
        <v>98</v>
      </c>
    </row>
    <row r="2" spans="1:3" x14ac:dyDescent="0.25">
      <c r="A2" t="s">
        <v>99</v>
      </c>
    </row>
    <row r="3" spans="1:3" x14ac:dyDescent="0.25">
      <c r="B3" t="s">
        <v>100</v>
      </c>
    </row>
    <row r="4" spans="1:3" x14ac:dyDescent="0.25">
      <c r="B4" t="s">
        <v>101</v>
      </c>
    </row>
    <row r="5" spans="1:3" x14ac:dyDescent="0.25">
      <c r="B5" t="s">
        <v>102</v>
      </c>
    </row>
    <row r="6" spans="1:3" x14ac:dyDescent="0.25">
      <c r="A6" t="s">
        <v>111</v>
      </c>
    </row>
    <row r="7" spans="1:3" x14ac:dyDescent="0.25">
      <c r="B7" t="s">
        <v>121</v>
      </c>
    </row>
    <row r="8" spans="1:3" x14ac:dyDescent="0.25">
      <c r="B8" t="s">
        <v>124</v>
      </c>
    </row>
    <row r="9" spans="1:3" x14ac:dyDescent="0.25">
      <c r="C9" t="s">
        <v>125</v>
      </c>
    </row>
    <row r="10" spans="1:3" x14ac:dyDescent="0.25">
      <c r="C10" t="s">
        <v>126</v>
      </c>
    </row>
    <row r="11" spans="1:3" x14ac:dyDescent="0.25">
      <c r="B11" t="s">
        <v>122</v>
      </c>
    </row>
    <row r="12" spans="1:3" x14ac:dyDescent="0.25">
      <c r="B12" t="s">
        <v>123</v>
      </c>
    </row>
    <row r="13" spans="1:3" x14ac:dyDescent="0.25">
      <c r="A13" t="s">
        <v>127</v>
      </c>
    </row>
    <row r="14" spans="1:3" x14ac:dyDescent="0.25">
      <c r="B14" t="s">
        <v>128</v>
      </c>
    </row>
    <row r="15" spans="1:3" x14ac:dyDescent="0.25">
      <c r="B15" t="s">
        <v>133</v>
      </c>
    </row>
    <row r="16" spans="1:3" x14ac:dyDescent="0.25">
      <c r="C16" t="s">
        <v>129</v>
      </c>
    </row>
    <row r="17" spans="1:5" x14ac:dyDescent="0.25">
      <c r="C17" t="s">
        <v>130</v>
      </c>
    </row>
    <row r="18" spans="1:5" x14ac:dyDescent="0.25">
      <c r="D18" t="s">
        <v>131</v>
      </c>
    </row>
    <row r="19" spans="1:5" x14ac:dyDescent="0.25">
      <c r="D19" t="s">
        <v>132</v>
      </c>
    </row>
    <row r="20" spans="1:5" x14ac:dyDescent="0.25">
      <c r="C20" t="s">
        <v>134</v>
      </c>
    </row>
    <row r="21" spans="1:5" x14ac:dyDescent="0.25">
      <c r="D21" t="s">
        <v>135</v>
      </c>
    </row>
    <row r="22" spans="1:5" x14ac:dyDescent="0.25">
      <c r="D22" t="s">
        <v>136</v>
      </c>
    </row>
    <row r="23" spans="1:5" x14ac:dyDescent="0.25">
      <c r="C23" t="s">
        <v>137</v>
      </c>
    </row>
    <row r="24" spans="1:5" x14ac:dyDescent="0.25">
      <c r="D24" t="s">
        <v>138</v>
      </c>
    </row>
    <row r="25" spans="1:5" x14ac:dyDescent="0.25">
      <c r="D25" t="s">
        <v>140</v>
      </c>
    </row>
    <row r="26" spans="1:5" x14ac:dyDescent="0.25">
      <c r="E26" t="s">
        <v>139</v>
      </c>
    </row>
    <row r="27" spans="1:5" x14ac:dyDescent="0.25">
      <c r="C27" t="s">
        <v>141</v>
      </c>
    </row>
    <row r="28" spans="1:5" x14ac:dyDescent="0.25">
      <c r="D28" t="s">
        <v>142</v>
      </c>
    </row>
    <row r="29" spans="1:5" x14ac:dyDescent="0.25">
      <c r="A29" t="s">
        <v>143</v>
      </c>
    </row>
    <row r="30" spans="1:5" x14ac:dyDescent="0.25">
      <c r="B30" t="s">
        <v>144</v>
      </c>
    </row>
    <row r="31" spans="1:5" x14ac:dyDescent="0.25">
      <c r="B31" t="s">
        <v>145</v>
      </c>
    </row>
    <row r="32" spans="1:5" x14ac:dyDescent="0.25">
      <c r="C32" t="s">
        <v>146</v>
      </c>
    </row>
    <row r="33" spans="1:4" x14ac:dyDescent="0.25">
      <c r="C33" s="44" t="s">
        <v>147</v>
      </c>
    </row>
    <row r="34" spans="1:4" x14ac:dyDescent="0.25">
      <c r="C34" t="s">
        <v>148</v>
      </c>
      <c r="D34" t="s">
        <v>149</v>
      </c>
    </row>
    <row r="35" spans="1:4" x14ac:dyDescent="0.25">
      <c r="B35" s="44" t="s">
        <v>154</v>
      </c>
    </row>
    <row r="36" spans="1:4" x14ac:dyDescent="0.25">
      <c r="C36" t="s">
        <v>150</v>
      </c>
    </row>
    <row r="37" spans="1:4" x14ac:dyDescent="0.25">
      <c r="D37" t="s">
        <v>155</v>
      </c>
    </row>
    <row r="38" spans="1:4" x14ac:dyDescent="0.25">
      <c r="C38" t="s">
        <v>151</v>
      </c>
    </row>
    <row r="39" spans="1:4" x14ac:dyDescent="0.25">
      <c r="D39" t="s">
        <v>152</v>
      </c>
    </row>
    <row r="40" spans="1:4" x14ac:dyDescent="0.25">
      <c r="D40" t="s">
        <v>153</v>
      </c>
    </row>
    <row r="41" spans="1:4" x14ac:dyDescent="0.25">
      <c r="A41" t="s">
        <v>156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47947-12A7-401B-A52C-CB4590B4B8BB}">
  <sheetPr codeName="Sheet7"/>
  <dimension ref="A1:M12"/>
  <sheetViews>
    <sheetView workbookViewId="0">
      <selection activeCell="B7" sqref="B7"/>
    </sheetView>
  </sheetViews>
  <sheetFormatPr defaultRowHeight="15" x14ac:dyDescent="0.25"/>
  <cols>
    <col min="1" max="1" width="12.85546875" customWidth="1"/>
    <col min="2" max="2" width="16.42578125" customWidth="1"/>
  </cols>
  <sheetData>
    <row r="1" spans="1:13" x14ac:dyDescent="0.25">
      <c r="A1" s="16" t="s">
        <v>85</v>
      </c>
    </row>
    <row r="2" spans="1:13" x14ac:dyDescent="0.25">
      <c r="A2" s="16" t="s">
        <v>97</v>
      </c>
    </row>
    <row r="3" spans="1:13" x14ac:dyDescent="0.25">
      <c r="A3" s="16" t="s">
        <v>88</v>
      </c>
    </row>
    <row r="4" spans="1:13" x14ac:dyDescent="0.25">
      <c r="A4" s="16" t="s">
        <v>86</v>
      </c>
    </row>
    <row r="5" spans="1:13" x14ac:dyDescent="0.25">
      <c r="A5" s="16" t="s">
        <v>93</v>
      </c>
    </row>
    <row r="6" spans="1:13" x14ac:dyDescent="0.25">
      <c r="A6" s="16"/>
    </row>
    <row r="7" spans="1:13" x14ac:dyDescent="0.25">
      <c r="A7" s="11" t="s">
        <v>87</v>
      </c>
      <c r="B7" s="5"/>
    </row>
    <row r="8" spans="1:13" x14ac:dyDescent="0.25">
      <c r="A8" s="9" t="s">
        <v>80</v>
      </c>
      <c r="B8" s="6"/>
    </row>
    <row r="9" spans="1:13" x14ac:dyDescent="0.25">
      <c r="A9" s="9" t="s">
        <v>81</v>
      </c>
      <c r="B9" s="7"/>
    </row>
    <row r="10" spans="1:13" x14ac:dyDescent="0.25">
      <c r="A10" s="9" t="s">
        <v>82</v>
      </c>
      <c r="B10" s="6"/>
    </row>
    <row r="11" spans="1:13" x14ac:dyDescent="0.25">
      <c r="A11" s="9" t="s">
        <v>83</v>
      </c>
      <c r="B11" s="7"/>
      <c r="C11" s="7"/>
      <c r="D11" s="7"/>
      <c r="E11" s="7"/>
      <c r="F11" s="7"/>
      <c r="G11" s="7"/>
      <c r="H11" s="7"/>
      <c r="I11" s="7"/>
      <c r="J11" s="7"/>
      <c r="K11" s="7"/>
      <c r="L11" s="7"/>
      <c r="M11" s="7"/>
    </row>
    <row r="12" spans="1:13" x14ac:dyDescent="0.25">
      <c r="A12" s="9" t="s">
        <v>84</v>
      </c>
      <c r="B12" s="4"/>
      <c r="C12" s="4"/>
      <c r="D12" s="4"/>
      <c r="E12" s="4"/>
      <c r="F12" s="4"/>
      <c r="G12" s="4"/>
      <c r="H12" s="4"/>
      <c r="I12" s="4"/>
      <c r="J12" s="4"/>
      <c r="K12" s="4"/>
      <c r="L12" s="4"/>
      <c r="M12"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01"/>
  <sheetViews>
    <sheetView workbookViewId="0">
      <selection activeCell="A2" sqref="A2"/>
    </sheetView>
  </sheetViews>
  <sheetFormatPr defaultRowHeight="15" x14ac:dyDescent="0.25"/>
  <cols>
    <col min="1" max="1" width="37.85546875" customWidth="1"/>
    <col min="3" max="3" width="10.85546875" bestFit="1" customWidth="1"/>
    <col min="6" max="6" width="69" customWidth="1"/>
    <col min="7" max="7" width="43.5703125" bestFit="1" customWidth="1"/>
  </cols>
  <sheetData>
    <row r="1" spans="1:7" x14ac:dyDescent="0.25">
      <c r="A1" s="9" t="s">
        <v>0</v>
      </c>
      <c r="B1" s="9" t="s">
        <v>4</v>
      </c>
      <c r="C1" s="9" t="s">
        <v>3</v>
      </c>
      <c r="D1" s="9" t="s">
        <v>1</v>
      </c>
      <c r="E1" s="9" t="s">
        <v>2</v>
      </c>
      <c r="F1" s="37" t="s">
        <v>5</v>
      </c>
      <c r="G1" s="39"/>
    </row>
    <row r="2" spans="1:7" x14ac:dyDescent="0.25">
      <c r="A2" s="4"/>
      <c r="B2" s="5" t="s">
        <v>12</v>
      </c>
      <c r="C2" s="4"/>
      <c r="D2" s="5"/>
      <c r="E2" s="4"/>
      <c r="F2" s="38"/>
      <c r="G2" s="16" t="s">
        <v>96</v>
      </c>
    </row>
    <row r="3" spans="1:7" x14ac:dyDescent="0.25">
      <c r="A3" s="4"/>
      <c r="B3" s="5" t="s">
        <v>12</v>
      </c>
      <c r="C3" s="4"/>
      <c r="D3" s="5"/>
      <c r="E3" s="4"/>
      <c r="F3" s="38"/>
      <c r="G3" s="16" t="s">
        <v>95</v>
      </c>
    </row>
    <row r="4" spans="1:7" x14ac:dyDescent="0.25">
      <c r="A4" s="4"/>
      <c r="B4" s="5" t="s">
        <v>12</v>
      </c>
      <c r="C4" s="4"/>
      <c r="D4" s="5"/>
      <c r="E4" s="4"/>
      <c r="F4" s="38"/>
    </row>
    <row r="5" spans="1:7" x14ac:dyDescent="0.25">
      <c r="A5" s="4"/>
      <c r="B5" s="5" t="s">
        <v>12</v>
      </c>
      <c r="C5" s="4"/>
      <c r="D5" s="5"/>
      <c r="E5" s="4"/>
      <c r="F5" s="38"/>
    </row>
    <row r="6" spans="1:7" x14ac:dyDescent="0.25">
      <c r="A6" s="4"/>
      <c r="B6" s="5" t="s">
        <v>12</v>
      </c>
      <c r="C6" s="4"/>
      <c r="D6" s="5"/>
      <c r="E6" s="4"/>
      <c r="F6" s="38"/>
      <c r="G6" s="16"/>
    </row>
    <row r="7" spans="1:7" x14ac:dyDescent="0.25">
      <c r="A7" s="4"/>
      <c r="B7" s="5" t="s">
        <v>12</v>
      </c>
      <c r="C7" s="4"/>
      <c r="D7" s="5"/>
      <c r="E7" s="4"/>
      <c r="F7" s="38"/>
      <c r="G7" s="16"/>
    </row>
    <row r="8" spans="1:7" x14ac:dyDescent="0.25">
      <c r="A8" s="4"/>
      <c r="B8" s="5" t="s">
        <v>12</v>
      </c>
      <c r="C8" s="4"/>
      <c r="D8" s="5"/>
      <c r="E8" s="4"/>
      <c r="F8" s="38"/>
      <c r="G8" s="16"/>
    </row>
    <row r="9" spans="1:7" x14ac:dyDescent="0.25">
      <c r="A9" s="4"/>
      <c r="B9" s="5" t="s">
        <v>12</v>
      </c>
      <c r="C9" s="4"/>
      <c r="D9" s="5"/>
      <c r="E9" s="4"/>
      <c r="F9" s="38"/>
      <c r="G9" s="17"/>
    </row>
    <row r="10" spans="1:7" x14ac:dyDescent="0.25">
      <c r="A10" s="4"/>
      <c r="B10" s="5" t="s">
        <v>12</v>
      </c>
      <c r="C10" s="20"/>
      <c r="D10" s="19"/>
      <c r="E10" s="4"/>
      <c r="F10" s="38"/>
    </row>
    <row r="11" spans="1:7" x14ac:dyDescent="0.25">
      <c r="A11" s="4"/>
      <c r="B11" s="5" t="s">
        <v>12</v>
      </c>
      <c r="C11" s="20"/>
      <c r="D11" s="19"/>
      <c r="E11" s="4"/>
      <c r="F11" s="38"/>
    </row>
    <row r="12" spans="1:7" x14ac:dyDescent="0.25">
      <c r="A12" s="4"/>
      <c r="B12" s="5" t="s">
        <v>12</v>
      </c>
      <c r="C12" s="4"/>
      <c r="D12" s="5"/>
      <c r="E12" s="4"/>
      <c r="F12" s="38"/>
    </row>
    <row r="13" spans="1:7" x14ac:dyDescent="0.25">
      <c r="A13" s="4"/>
      <c r="B13" s="5" t="s">
        <v>12</v>
      </c>
      <c r="C13" s="4"/>
      <c r="D13" s="5"/>
      <c r="E13" s="4"/>
      <c r="F13" s="38"/>
    </row>
    <row r="14" spans="1:7" x14ac:dyDescent="0.25">
      <c r="A14" s="4"/>
      <c r="B14" s="5" t="s">
        <v>12</v>
      </c>
      <c r="C14" s="4"/>
      <c r="D14" s="5"/>
      <c r="E14" s="4"/>
      <c r="F14" s="38"/>
    </row>
    <row r="15" spans="1:7" x14ac:dyDescent="0.25">
      <c r="A15" s="4"/>
      <c r="B15" s="5" t="s">
        <v>12</v>
      </c>
      <c r="C15" s="4"/>
      <c r="D15" s="5"/>
      <c r="E15" s="4"/>
      <c r="F15" s="38"/>
    </row>
    <row r="16" spans="1:7" x14ac:dyDescent="0.25">
      <c r="A16" s="4"/>
      <c r="B16" s="5" t="s">
        <v>12</v>
      </c>
      <c r="C16" s="4"/>
      <c r="D16" s="5"/>
      <c r="E16" s="4"/>
      <c r="F16" s="38"/>
    </row>
    <row r="17" spans="1:6" x14ac:dyDescent="0.25">
      <c r="A17" s="4"/>
      <c r="B17" s="5" t="s">
        <v>12</v>
      </c>
      <c r="C17" s="4"/>
      <c r="D17" s="5"/>
      <c r="E17" s="4"/>
      <c r="F17" s="38"/>
    </row>
    <row r="18" spans="1:6" x14ac:dyDescent="0.25">
      <c r="A18" s="4"/>
      <c r="B18" s="5" t="s">
        <v>12</v>
      </c>
      <c r="C18" s="4"/>
      <c r="D18" s="5"/>
      <c r="E18" s="4"/>
      <c r="F18" s="38"/>
    </row>
    <row r="19" spans="1:6" x14ac:dyDescent="0.25">
      <c r="A19" s="4"/>
      <c r="B19" s="5" t="s">
        <v>12</v>
      </c>
      <c r="C19" s="4"/>
      <c r="D19" s="5"/>
      <c r="E19" s="4"/>
      <c r="F19" s="38"/>
    </row>
    <row r="20" spans="1:6" x14ac:dyDescent="0.25">
      <c r="A20" s="4"/>
      <c r="B20" s="5" t="s">
        <v>12</v>
      </c>
      <c r="C20" s="4"/>
      <c r="D20" s="5"/>
      <c r="E20" s="4"/>
      <c r="F20" s="38"/>
    </row>
    <row r="21" spans="1:6" x14ac:dyDescent="0.25">
      <c r="A21" s="4"/>
      <c r="B21" s="5" t="s">
        <v>12</v>
      </c>
      <c r="C21" s="4"/>
      <c r="D21" s="5"/>
      <c r="E21" s="4"/>
      <c r="F21" s="38"/>
    </row>
    <row r="22" spans="1:6" x14ac:dyDescent="0.25">
      <c r="A22" s="4"/>
      <c r="B22" s="5" t="s">
        <v>12</v>
      </c>
      <c r="C22" s="4"/>
      <c r="D22" s="5"/>
      <c r="E22" s="4"/>
      <c r="F22" s="38"/>
    </row>
    <row r="23" spans="1:6" x14ac:dyDescent="0.25">
      <c r="A23" s="4"/>
      <c r="B23" s="5" t="s">
        <v>12</v>
      </c>
      <c r="C23" s="4"/>
      <c r="D23" s="5"/>
      <c r="E23" s="4"/>
      <c r="F23" s="38"/>
    </row>
    <row r="24" spans="1:6" x14ac:dyDescent="0.25">
      <c r="A24" s="4"/>
      <c r="B24" s="5" t="s">
        <v>12</v>
      </c>
      <c r="C24" s="4"/>
      <c r="D24" s="5"/>
      <c r="E24" s="4"/>
      <c r="F24" s="38"/>
    </row>
    <row r="25" spans="1:6" x14ac:dyDescent="0.25">
      <c r="A25" s="4"/>
      <c r="B25" s="5" t="s">
        <v>12</v>
      </c>
      <c r="C25" s="4"/>
      <c r="D25" s="5"/>
      <c r="E25" s="4"/>
      <c r="F25" s="38"/>
    </row>
    <row r="26" spans="1:6" x14ac:dyDescent="0.25">
      <c r="A26" s="4"/>
      <c r="B26" s="5" t="s">
        <v>12</v>
      </c>
      <c r="C26" s="4"/>
      <c r="D26" s="5"/>
      <c r="E26" s="4"/>
      <c r="F26" s="38"/>
    </row>
    <row r="27" spans="1:6" x14ac:dyDescent="0.25">
      <c r="A27" s="4"/>
      <c r="B27" s="5" t="s">
        <v>12</v>
      </c>
      <c r="C27" s="4"/>
      <c r="D27" s="5"/>
      <c r="E27" s="4"/>
      <c r="F27" s="38"/>
    </row>
    <row r="28" spans="1:6" x14ac:dyDescent="0.25">
      <c r="A28" s="4"/>
      <c r="B28" s="5" t="s">
        <v>12</v>
      </c>
      <c r="C28" s="4"/>
      <c r="D28" s="5"/>
      <c r="E28" s="4"/>
      <c r="F28" s="38"/>
    </row>
    <row r="29" spans="1:6" x14ac:dyDescent="0.25">
      <c r="A29" s="4"/>
      <c r="B29" s="5" t="s">
        <v>12</v>
      </c>
      <c r="C29" s="4"/>
      <c r="D29" s="5"/>
      <c r="E29" s="4"/>
      <c r="F29" s="38"/>
    </row>
    <row r="30" spans="1:6" x14ac:dyDescent="0.25">
      <c r="A30" s="4"/>
      <c r="B30" s="5" t="s">
        <v>12</v>
      </c>
      <c r="C30" s="4"/>
      <c r="D30" s="5"/>
      <c r="E30" s="4"/>
      <c r="F30" s="38"/>
    </row>
    <row r="31" spans="1:6" x14ac:dyDescent="0.25">
      <c r="A31" s="4"/>
      <c r="B31" s="5" t="s">
        <v>12</v>
      </c>
      <c r="C31" s="4"/>
      <c r="D31" s="5"/>
      <c r="E31" s="4"/>
      <c r="F31" s="38"/>
    </row>
    <row r="32" spans="1:6" x14ac:dyDescent="0.25">
      <c r="A32" s="4"/>
      <c r="B32" s="5" t="s">
        <v>12</v>
      </c>
      <c r="C32" s="4"/>
      <c r="D32" s="5"/>
      <c r="E32" s="4"/>
      <c r="F32" s="38"/>
    </row>
    <row r="33" spans="1:6" x14ac:dyDescent="0.25">
      <c r="A33" s="4"/>
      <c r="B33" s="5" t="s">
        <v>12</v>
      </c>
      <c r="C33" s="4"/>
      <c r="D33" s="5"/>
      <c r="E33" s="4"/>
      <c r="F33" s="38"/>
    </row>
    <row r="34" spans="1:6" x14ac:dyDescent="0.25">
      <c r="A34" s="4"/>
      <c r="B34" s="5" t="s">
        <v>12</v>
      </c>
      <c r="C34" s="4"/>
      <c r="D34" s="5"/>
      <c r="E34" s="4"/>
      <c r="F34" s="38"/>
    </row>
    <row r="35" spans="1:6" x14ac:dyDescent="0.25">
      <c r="A35" s="4"/>
      <c r="B35" s="5" t="s">
        <v>12</v>
      </c>
      <c r="C35" s="4"/>
      <c r="D35" s="5"/>
      <c r="E35" s="4"/>
      <c r="F35" s="38"/>
    </row>
    <row r="36" spans="1:6" x14ac:dyDescent="0.25">
      <c r="A36" s="4"/>
      <c r="B36" s="5" t="s">
        <v>12</v>
      </c>
      <c r="C36" s="4"/>
      <c r="D36" s="5"/>
      <c r="E36" s="4"/>
      <c r="F36" s="38"/>
    </row>
    <row r="37" spans="1:6" x14ac:dyDescent="0.25">
      <c r="A37" s="4"/>
      <c r="B37" s="5" t="s">
        <v>12</v>
      </c>
      <c r="C37" s="4"/>
      <c r="D37" s="5"/>
      <c r="E37" s="4"/>
      <c r="F37" s="38"/>
    </row>
    <row r="38" spans="1:6" x14ac:dyDescent="0.25">
      <c r="A38" s="4"/>
      <c r="B38" s="5" t="s">
        <v>12</v>
      </c>
      <c r="C38" s="4"/>
      <c r="D38" s="5"/>
      <c r="E38" s="4"/>
      <c r="F38" s="38"/>
    </row>
    <row r="39" spans="1:6" x14ac:dyDescent="0.25">
      <c r="A39" s="4"/>
      <c r="B39" s="5" t="s">
        <v>12</v>
      </c>
      <c r="C39" s="4"/>
      <c r="D39" s="5"/>
      <c r="E39" s="4"/>
      <c r="F39" s="38"/>
    </row>
    <row r="40" spans="1:6" x14ac:dyDescent="0.25">
      <c r="A40" s="4"/>
      <c r="B40" s="5" t="s">
        <v>12</v>
      </c>
      <c r="C40" s="4"/>
      <c r="D40" s="5"/>
      <c r="E40" s="4"/>
      <c r="F40" s="38"/>
    </row>
    <row r="41" spans="1:6" x14ac:dyDescent="0.25">
      <c r="A41" s="4"/>
      <c r="B41" s="5" t="s">
        <v>12</v>
      </c>
      <c r="C41" s="4"/>
      <c r="D41" s="5"/>
      <c r="E41" s="4"/>
      <c r="F41" s="38"/>
    </row>
    <row r="42" spans="1:6" x14ac:dyDescent="0.25">
      <c r="A42" s="4"/>
      <c r="B42" s="5" t="s">
        <v>12</v>
      </c>
      <c r="C42" s="4"/>
      <c r="D42" s="5"/>
      <c r="E42" s="4"/>
      <c r="F42" s="38"/>
    </row>
    <row r="43" spans="1:6" x14ac:dyDescent="0.25">
      <c r="A43" s="4"/>
      <c r="B43" s="5" t="s">
        <v>12</v>
      </c>
      <c r="C43" s="4"/>
      <c r="D43" s="5"/>
      <c r="E43" s="4"/>
      <c r="F43" s="38"/>
    </row>
    <row r="44" spans="1:6" x14ac:dyDescent="0.25">
      <c r="A44" s="4"/>
      <c r="B44" s="5" t="s">
        <v>12</v>
      </c>
      <c r="C44" s="4"/>
      <c r="D44" s="5"/>
      <c r="E44" s="4"/>
      <c r="F44" s="38"/>
    </row>
    <row r="45" spans="1:6" x14ac:dyDescent="0.25">
      <c r="A45" s="4"/>
      <c r="B45" s="5" t="s">
        <v>12</v>
      </c>
      <c r="C45" s="4"/>
      <c r="D45" s="5"/>
      <c r="E45" s="4"/>
      <c r="F45" s="38"/>
    </row>
    <row r="46" spans="1:6" x14ac:dyDescent="0.25">
      <c r="A46" s="4"/>
      <c r="B46" s="5" t="s">
        <v>12</v>
      </c>
      <c r="C46" s="4"/>
      <c r="D46" s="5"/>
      <c r="E46" s="4"/>
      <c r="F46" s="38"/>
    </row>
    <row r="47" spans="1:6" x14ac:dyDescent="0.25">
      <c r="A47" s="4"/>
      <c r="B47" s="5" t="s">
        <v>12</v>
      </c>
      <c r="C47" s="4"/>
      <c r="D47" s="5"/>
      <c r="E47" s="4"/>
      <c r="F47" s="38"/>
    </row>
    <row r="48" spans="1:6" x14ac:dyDescent="0.25">
      <c r="A48" s="4"/>
      <c r="B48" s="5" t="s">
        <v>12</v>
      </c>
      <c r="C48" s="4"/>
      <c r="D48" s="5"/>
      <c r="E48" s="4"/>
      <c r="F48" s="38"/>
    </row>
    <row r="49" spans="1:6" x14ac:dyDescent="0.25">
      <c r="A49" s="4"/>
      <c r="B49" s="5" t="s">
        <v>12</v>
      </c>
      <c r="C49" s="4"/>
      <c r="D49" s="5"/>
      <c r="E49" s="4"/>
      <c r="F49" s="38"/>
    </row>
    <row r="50" spans="1:6" x14ac:dyDescent="0.25">
      <c r="A50" s="4"/>
      <c r="B50" s="5" t="s">
        <v>12</v>
      </c>
      <c r="C50" s="4"/>
      <c r="D50" s="5"/>
      <c r="E50" s="4"/>
      <c r="F50" s="38"/>
    </row>
    <row r="51" spans="1:6" x14ac:dyDescent="0.25">
      <c r="A51" s="4"/>
      <c r="B51" s="5" t="s">
        <v>12</v>
      </c>
      <c r="C51" s="4"/>
      <c r="D51" s="5"/>
      <c r="E51" s="4"/>
      <c r="F51" s="38"/>
    </row>
    <row r="52" spans="1:6" x14ac:dyDescent="0.25">
      <c r="A52" s="4"/>
      <c r="B52" s="5" t="s">
        <v>12</v>
      </c>
      <c r="C52" s="4"/>
      <c r="D52" s="5"/>
      <c r="E52" s="4"/>
      <c r="F52" s="38"/>
    </row>
    <row r="53" spans="1:6" x14ac:dyDescent="0.25">
      <c r="A53" s="4"/>
      <c r="B53" s="5" t="s">
        <v>12</v>
      </c>
      <c r="C53" s="4"/>
      <c r="D53" s="5"/>
      <c r="E53" s="4"/>
      <c r="F53" s="38"/>
    </row>
    <row r="54" spans="1:6" x14ac:dyDescent="0.25">
      <c r="A54" s="4"/>
      <c r="B54" s="5" t="s">
        <v>12</v>
      </c>
      <c r="C54" s="4"/>
      <c r="D54" s="5"/>
      <c r="E54" s="4"/>
      <c r="F54" s="38"/>
    </row>
    <row r="55" spans="1:6" x14ac:dyDescent="0.25">
      <c r="A55" s="4"/>
      <c r="B55" s="5" t="s">
        <v>12</v>
      </c>
      <c r="C55" s="4"/>
      <c r="D55" s="5"/>
      <c r="E55" s="4"/>
      <c r="F55" s="38"/>
    </row>
    <row r="56" spans="1:6" x14ac:dyDescent="0.25">
      <c r="A56" s="4"/>
      <c r="B56" s="5" t="s">
        <v>12</v>
      </c>
      <c r="C56" s="4"/>
      <c r="D56" s="5"/>
      <c r="E56" s="4"/>
      <c r="F56" s="38"/>
    </row>
    <row r="57" spans="1:6" x14ac:dyDescent="0.25">
      <c r="A57" s="4"/>
      <c r="B57" s="5" t="s">
        <v>12</v>
      </c>
      <c r="C57" s="4"/>
      <c r="D57" s="5"/>
      <c r="E57" s="4"/>
      <c r="F57" s="38"/>
    </row>
    <row r="58" spans="1:6" x14ac:dyDescent="0.25">
      <c r="A58" s="4"/>
      <c r="B58" s="5" t="s">
        <v>12</v>
      </c>
      <c r="C58" s="4"/>
      <c r="D58" s="5"/>
      <c r="E58" s="4"/>
      <c r="F58" s="38"/>
    </row>
    <row r="59" spans="1:6" x14ac:dyDescent="0.25">
      <c r="A59" s="4"/>
      <c r="B59" s="5" t="s">
        <v>12</v>
      </c>
      <c r="C59" s="4"/>
      <c r="D59" s="5"/>
      <c r="E59" s="4"/>
      <c r="F59" s="38"/>
    </row>
    <row r="60" spans="1:6" x14ac:dyDescent="0.25">
      <c r="A60" s="4"/>
      <c r="B60" s="5" t="s">
        <v>12</v>
      </c>
      <c r="C60" s="4"/>
      <c r="D60" s="5"/>
      <c r="E60" s="4"/>
      <c r="F60" s="38"/>
    </row>
    <row r="61" spans="1:6" x14ac:dyDescent="0.25">
      <c r="A61" s="4"/>
      <c r="B61" s="5" t="s">
        <v>12</v>
      </c>
      <c r="C61" s="4"/>
      <c r="D61" s="5"/>
      <c r="E61" s="4"/>
      <c r="F61" s="38"/>
    </row>
    <row r="62" spans="1:6" x14ac:dyDescent="0.25">
      <c r="A62" s="4"/>
      <c r="B62" s="5" t="s">
        <v>12</v>
      </c>
      <c r="C62" s="4"/>
      <c r="D62" s="5"/>
      <c r="E62" s="4"/>
      <c r="F62" s="38"/>
    </row>
    <row r="63" spans="1:6" x14ac:dyDescent="0.25">
      <c r="A63" s="4"/>
      <c r="B63" s="5" t="s">
        <v>12</v>
      </c>
      <c r="C63" s="4"/>
      <c r="D63" s="5"/>
      <c r="E63" s="4"/>
      <c r="F63" s="38"/>
    </row>
    <row r="64" spans="1:6" x14ac:dyDescent="0.25">
      <c r="A64" s="4"/>
      <c r="B64" s="5" t="s">
        <v>12</v>
      </c>
      <c r="C64" s="4"/>
      <c r="D64" s="5"/>
      <c r="E64" s="4"/>
      <c r="F64" s="38"/>
    </row>
    <row r="65" spans="1:6" x14ac:dyDescent="0.25">
      <c r="A65" s="4"/>
      <c r="B65" s="5" t="s">
        <v>12</v>
      </c>
      <c r="C65" s="4"/>
      <c r="D65" s="5"/>
      <c r="E65" s="4"/>
      <c r="F65" s="38"/>
    </row>
    <row r="66" spans="1:6" x14ac:dyDescent="0.25">
      <c r="A66" s="4"/>
      <c r="B66" s="5" t="s">
        <v>12</v>
      </c>
      <c r="C66" s="4"/>
      <c r="D66" s="5"/>
      <c r="E66" s="4"/>
      <c r="F66" s="38"/>
    </row>
    <row r="67" spans="1:6" x14ac:dyDescent="0.25">
      <c r="A67" s="4"/>
      <c r="B67" s="5" t="s">
        <v>12</v>
      </c>
      <c r="C67" s="4"/>
      <c r="D67" s="5"/>
      <c r="E67" s="4"/>
      <c r="F67" s="38"/>
    </row>
    <row r="68" spans="1:6" x14ac:dyDescent="0.25">
      <c r="A68" s="4"/>
      <c r="B68" s="5" t="s">
        <v>12</v>
      </c>
      <c r="C68" s="4"/>
      <c r="D68" s="5"/>
      <c r="E68" s="4"/>
      <c r="F68" s="38"/>
    </row>
    <row r="69" spans="1:6" x14ac:dyDescent="0.25">
      <c r="A69" s="4"/>
      <c r="B69" s="5" t="s">
        <v>12</v>
      </c>
      <c r="C69" s="4"/>
      <c r="D69" s="5"/>
      <c r="E69" s="4"/>
      <c r="F69" s="38"/>
    </row>
    <row r="70" spans="1:6" x14ac:dyDescent="0.25">
      <c r="A70" s="4"/>
      <c r="B70" s="5" t="s">
        <v>12</v>
      </c>
      <c r="C70" s="4"/>
      <c r="D70" s="5"/>
      <c r="E70" s="4"/>
      <c r="F70" s="38"/>
    </row>
    <row r="71" spans="1:6" x14ac:dyDescent="0.25">
      <c r="A71" s="4"/>
      <c r="B71" s="5" t="s">
        <v>12</v>
      </c>
      <c r="C71" s="4"/>
      <c r="D71" s="5"/>
      <c r="E71" s="4"/>
      <c r="F71" s="38"/>
    </row>
    <row r="72" spans="1:6" x14ac:dyDescent="0.25">
      <c r="A72" s="4"/>
      <c r="B72" s="5" t="s">
        <v>12</v>
      </c>
      <c r="C72" s="4"/>
      <c r="D72" s="5"/>
      <c r="E72" s="4"/>
      <c r="F72" s="38"/>
    </row>
    <row r="73" spans="1:6" x14ac:dyDescent="0.25">
      <c r="A73" s="4"/>
      <c r="B73" s="5" t="s">
        <v>12</v>
      </c>
      <c r="C73" s="4"/>
      <c r="D73" s="5"/>
      <c r="E73" s="4"/>
      <c r="F73" s="38"/>
    </row>
    <row r="74" spans="1:6" x14ac:dyDescent="0.25">
      <c r="A74" s="4"/>
      <c r="B74" s="5" t="s">
        <v>12</v>
      </c>
      <c r="C74" s="4"/>
      <c r="D74" s="5"/>
      <c r="E74" s="4"/>
      <c r="F74" s="38"/>
    </row>
    <row r="75" spans="1:6" x14ac:dyDescent="0.25">
      <c r="A75" s="4"/>
      <c r="B75" s="5" t="s">
        <v>12</v>
      </c>
      <c r="C75" s="4"/>
      <c r="D75" s="5"/>
      <c r="E75" s="4"/>
      <c r="F75" s="38"/>
    </row>
    <row r="76" spans="1:6" x14ac:dyDescent="0.25">
      <c r="A76" s="4"/>
      <c r="B76" s="5" t="s">
        <v>12</v>
      </c>
      <c r="C76" s="4"/>
      <c r="D76" s="5"/>
      <c r="E76" s="4"/>
      <c r="F76" s="38"/>
    </row>
    <row r="77" spans="1:6" x14ac:dyDescent="0.25">
      <c r="A77" s="4"/>
      <c r="B77" s="5" t="s">
        <v>12</v>
      </c>
      <c r="C77" s="4"/>
      <c r="D77" s="5"/>
      <c r="E77" s="4"/>
      <c r="F77" s="38"/>
    </row>
    <row r="78" spans="1:6" x14ac:dyDescent="0.25">
      <c r="A78" s="4"/>
      <c r="B78" s="5" t="s">
        <v>12</v>
      </c>
      <c r="C78" s="4"/>
      <c r="D78" s="5"/>
      <c r="E78" s="4"/>
      <c r="F78" s="38"/>
    </row>
    <row r="79" spans="1:6" x14ac:dyDescent="0.25">
      <c r="A79" s="4"/>
      <c r="B79" s="5" t="s">
        <v>12</v>
      </c>
      <c r="C79" s="4"/>
      <c r="D79" s="5"/>
      <c r="E79" s="4"/>
      <c r="F79" s="38"/>
    </row>
    <row r="80" spans="1:6" x14ac:dyDescent="0.25">
      <c r="A80" s="4"/>
      <c r="B80" s="5" t="s">
        <v>12</v>
      </c>
      <c r="C80" s="4"/>
      <c r="D80" s="5"/>
      <c r="E80" s="4"/>
      <c r="F80" s="38"/>
    </row>
    <row r="81" spans="1:6" x14ac:dyDescent="0.25">
      <c r="A81" s="4"/>
      <c r="B81" s="5" t="s">
        <v>12</v>
      </c>
      <c r="C81" s="4"/>
      <c r="D81" s="5"/>
      <c r="E81" s="4"/>
      <c r="F81" s="38"/>
    </row>
    <row r="82" spans="1:6" x14ac:dyDescent="0.25">
      <c r="A82" s="4"/>
      <c r="B82" s="5" t="s">
        <v>12</v>
      </c>
      <c r="C82" s="4"/>
      <c r="D82" s="5"/>
      <c r="E82" s="4"/>
      <c r="F82" s="38"/>
    </row>
    <row r="83" spans="1:6" x14ac:dyDescent="0.25">
      <c r="A83" s="4"/>
      <c r="B83" s="5" t="s">
        <v>12</v>
      </c>
      <c r="C83" s="4"/>
      <c r="D83" s="5"/>
      <c r="E83" s="4"/>
      <c r="F83" s="38"/>
    </row>
    <row r="84" spans="1:6" x14ac:dyDescent="0.25">
      <c r="A84" s="4"/>
      <c r="B84" s="5" t="s">
        <v>12</v>
      </c>
      <c r="C84" s="4"/>
      <c r="D84" s="5"/>
      <c r="E84" s="4"/>
      <c r="F84" s="38"/>
    </row>
    <row r="85" spans="1:6" x14ac:dyDescent="0.25">
      <c r="A85" s="4"/>
      <c r="B85" s="5" t="s">
        <v>12</v>
      </c>
      <c r="C85" s="4"/>
      <c r="D85" s="5"/>
      <c r="E85" s="4"/>
      <c r="F85" s="38"/>
    </row>
    <row r="86" spans="1:6" x14ac:dyDescent="0.25">
      <c r="A86" s="4"/>
      <c r="B86" s="5" t="s">
        <v>12</v>
      </c>
      <c r="C86" s="4"/>
      <c r="D86" s="5"/>
      <c r="E86" s="4"/>
      <c r="F86" s="38"/>
    </row>
    <row r="87" spans="1:6" x14ac:dyDescent="0.25">
      <c r="A87" s="4"/>
      <c r="B87" s="5" t="s">
        <v>12</v>
      </c>
      <c r="C87" s="4"/>
      <c r="D87" s="5"/>
      <c r="E87" s="4"/>
      <c r="F87" s="38"/>
    </row>
    <row r="88" spans="1:6" x14ac:dyDescent="0.25">
      <c r="A88" s="4"/>
      <c r="B88" s="5" t="s">
        <v>12</v>
      </c>
      <c r="C88" s="4"/>
      <c r="D88" s="5"/>
      <c r="E88" s="4"/>
      <c r="F88" s="38"/>
    </row>
    <row r="89" spans="1:6" x14ac:dyDescent="0.25">
      <c r="A89" s="4"/>
      <c r="B89" s="5" t="s">
        <v>12</v>
      </c>
      <c r="C89" s="4"/>
      <c r="D89" s="5"/>
      <c r="E89" s="4"/>
      <c r="F89" s="38"/>
    </row>
    <row r="90" spans="1:6" x14ac:dyDescent="0.25">
      <c r="A90" s="4"/>
      <c r="B90" s="5" t="s">
        <v>12</v>
      </c>
      <c r="C90" s="4"/>
      <c r="D90" s="5"/>
      <c r="E90" s="4"/>
      <c r="F90" s="38"/>
    </row>
    <row r="91" spans="1:6" x14ac:dyDescent="0.25">
      <c r="A91" s="4"/>
      <c r="B91" s="5" t="s">
        <v>12</v>
      </c>
      <c r="C91" s="4"/>
      <c r="D91" s="5"/>
      <c r="E91" s="4"/>
      <c r="F91" s="38"/>
    </row>
    <row r="92" spans="1:6" x14ac:dyDescent="0.25">
      <c r="A92" s="4"/>
      <c r="B92" s="5" t="s">
        <v>12</v>
      </c>
      <c r="C92" s="4"/>
      <c r="D92" s="5"/>
      <c r="E92" s="4"/>
      <c r="F92" s="38"/>
    </row>
    <row r="93" spans="1:6" x14ac:dyDescent="0.25">
      <c r="A93" s="4"/>
      <c r="B93" s="5" t="s">
        <v>12</v>
      </c>
      <c r="C93" s="4"/>
      <c r="D93" s="5"/>
      <c r="E93" s="4"/>
      <c r="F93" s="38"/>
    </row>
    <row r="94" spans="1:6" x14ac:dyDescent="0.25">
      <c r="A94" s="4"/>
      <c r="B94" s="5" t="s">
        <v>12</v>
      </c>
      <c r="C94" s="4"/>
      <c r="D94" s="5"/>
      <c r="E94" s="4"/>
      <c r="F94" s="38"/>
    </row>
    <row r="95" spans="1:6" x14ac:dyDescent="0.25">
      <c r="A95" s="4"/>
      <c r="B95" s="5" t="s">
        <v>12</v>
      </c>
      <c r="C95" s="4"/>
      <c r="D95" s="5"/>
      <c r="E95" s="4"/>
      <c r="F95" s="38"/>
    </row>
    <row r="96" spans="1:6" x14ac:dyDescent="0.25">
      <c r="A96" s="4"/>
      <c r="B96" s="5" t="s">
        <v>12</v>
      </c>
      <c r="C96" s="4"/>
      <c r="D96" s="5"/>
      <c r="E96" s="4"/>
      <c r="F96" s="38"/>
    </row>
    <row r="97" spans="1:6" x14ac:dyDescent="0.25">
      <c r="A97" s="4"/>
      <c r="B97" s="5" t="s">
        <v>12</v>
      </c>
      <c r="C97" s="4"/>
      <c r="D97" s="5"/>
      <c r="E97" s="4"/>
      <c r="F97" s="38"/>
    </row>
    <row r="98" spans="1:6" x14ac:dyDescent="0.25">
      <c r="A98" s="4"/>
      <c r="B98" s="5" t="s">
        <v>12</v>
      </c>
      <c r="C98" s="4"/>
      <c r="D98" s="5"/>
      <c r="E98" s="4"/>
      <c r="F98" s="38"/>
    </row>
    <row r="99" spans="1:6" x14ac:dyDescent="0.25">
      <c r="A99" s="4"/>
      <c r="B99" s="5" t="s">
        <v>12</v>
      </c>
      <c r="C99" s="4"/>
      <c r="D99" s="5"/>
      <c r="E99" s="4"/>
      <c r="F99" s="38"/>
    </row>
    <row r="100" spans="1:6" x14ac:dyDescent="0.25">
      <c r="A100" s="4"/>
      <c r="B100" s="5" t="s">
        <v>12</v>
      </c>
      <c r="C100" s="4"/>
      <c r="D100" s="5"/>
      <c r="E100" s="4"/>
      <c r="F100" s="38"/>
    </row>
    <row r="101" spans="1:6" x14ac:dyDescent="0.25">
      <c r="A101" s="4"/>
      <c r="B101" s="5" t="s">
        <v>12</v>
      </c>
      <c r="C101" s="4"/>
      <c r="D101" s="5"/>
      <c r="E101" s="4"/>
      <c r="F101" s="38"/>
    </row>
  </sheetData>
  <conditionalFormatting sqref="C2:C101">
    <cfRule type="expression" dxfId="12" priority="7">
      <formula>AND(OR(C2 &lt; D2, C2 &gt; E2, C2 = none), A2 &lt;&gt; none)</formula>
    </cfRule>
  </conditionalFormatting>
  <conditionalFormatting sqref="C7">
    <cfRule type="expression" dxfId="11" priority="6">
      <formula>AND(OR(C7 &lt; D7, C7 &gt; E7), A7 &lt;&gt; "")</formula>
    </cfRule>
  </conditionalFormatting>
  <conditionalFormatting sqref="D2:D101">
    <cfRule type="expression" dxfId="10" priority="4">
      <formula>AND(OR(D2 &gt; E2, D2=none), A2 &lt;&gt; none)</formula>
    </cfRule>
  </conditionalFormatting>
  <conditionalFormatting sqref="E2:E101">
    <cfRule type="expression" dxfId="9" priority="2">
      <formula>AND(OR(E2 &lt; D2, E2=none), A2 &lt;&gt; none)</formula>
    </cfRule>
  </conditionalFormatting>
  <conditionalFormatting sqref="B2:B101">
    <cfRule type="expression" dxfId="8" priority="1">
      <formula>AND(B2&lt;&gt;TRUE, B2&lt;&gt;FALSE, A2&lt;&gt;none)</formula>
    </cfRule>
  </conditionalFormatting>
  <dataValidations count="1">
    <dataValidation type="list" allowBlank="1" showInputMessage="1" showErrorMessage="1" sqref="B2:B101" xr:uid="{00000000-0002-0000-0100-000000000000}">
      <formula1>boolean_selection</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11"/>
  <sheetViews>
    <sheetView workbookViewId="0">
      <selection activeCell="A7" sqref="A7"/>
    </sheetView>
  </sheetViews>
  <sheetFormatPr defaultRowHeight="15" x14ac:dyDescent="0.25"/>
  <cols>
    <col min="1" max="1" width="18.5703125" bestFit="1" customWidth="1"/>
    <col min="6" max="6" width="13.42578125" bestFit="1" customWidth="1"/>
    <col min="7" max="7" width="10.42578125" bestFit="1" customWidth="1"/>
  </cols>
  <sheetData>
    <row r="1" spans="1:13" x14ac:dyDescent="0.25">
      <c r="A1" s="23" t="s">
        <v>21</v>
      </c>
      <c r="B1" s="22"/>
      <c r="C1" t="s">
        <v>28</v>
      </c>
      <c r="F1" s="10" t="s">
        <v>30</v>
      </c>
      <c r="G1" s="2"/>
    </row>
    <row r="2" spans="1:13" x14ac:dyDescent="0.25">
      <c r="A2" s="23" t="s">
        <v>22</v>
      </c>
      <c r="B2" s="22"/>
      <c r="C2" t="s">
        <v>28</v>
      </c>
      <c r="F2" s="11" t="s">
        <v>31</v>
      </c>
    </row>
    <row r="3" spans="1:13" x14ac:dyDescent="0.25">
      <c r="A3" s="23" t="s">
        <v>23</v>
      </c>
      <c r="B3" s="22"/>
      <c r="C3" s="1" t="s">
        <v>27</v>
      </c>
      <c r="F3" s="11">
        <f>n_samples_per_iteration-n_center_repeats</f>
        <v>0</v>
      </c>
      <c r="G3" s="1" t="s">
        <v>33</v>
      </c>
    </row>
    <row r="4" spans="1:13" x14ac:dyDescent="0.25">
      <c r="A4" s="23" t="s">
        <v>24</v>
      </c>
      <c r="B4" s="22"/>
      <c r="C4" s="1" t="s">
        <v>27</v>
      </c>
      <c r="F4" s="11" t="s">
        <v>32</v>
      </c>
    </row>
    <row r="5" spans="1:13" x14ac:dyDescent="0.25">
      <c r="F5" s="11">
        <f>n_replicates*$F$3</f>
        <v>0</v>
      </c>
      <c r="G5" s="1" t="s">
        <v>34</v>
      </c>
      <c r="M5" s="14" t="s">
        <v>38</v>
      </c>
    </row>
    <row r="6" spans="1:13" x14ac:dyDescent="0.25">
      <c r="A6" s="2"/>
      <c r="B6" s="2"/>
      <c r="C6" s="2"/>
      <c r="D6" s="2"/>
      <c r="E6" s="2"/>
      <c r="F6" s="2"/>
      <c r="G6" s="2"/>
      <c r="H6" s="2"/>
      <c r="I6" s="2"/>
      <c r="J6" s="2"/>
      <c r="K6" s="2"/>
    </row>
    <row r="7" spans="1:13" x14ac:dyDescent="0.25">
      <c r="A7" s="13" t="s">
        <v>41</v>
      </c>
      <c r="B7" s="2"/>
      <c r="C7" s="2"/>
      <c r="D7" s="2"/>
      <c r="E7" s="2"/>
      <c r="F7" s="2"/>
      <c r="G7" s="2"/>
      <c r="H7" s="2"/>
      <c r="I7" s="2"/>
      <c r="J7" s="2"/>
      <c r="K7" s="2"/>
    </row>
    <row r="8" spans="1:13" x14ac:dyDescent="0.25">
      <c r="A8" s="2"/>
      <c r="B8" s="2"/>
      <c r="C8" s="2"/>
      <c r="D8" s="2"/>
      <c r="E8" s="2"/>
      <c r="F8" s="2"/>
      <c r="G8" s="2"/>
      <c r="H8" s="2"/>
      <c r="I8" s="2"/>
      <c r="J8" s="2"/>
      <c r="K8" s="2"/>
    </row>
    <row r="9" spans="1:13" x14ac:dyDescent="0.25">
      <c r="A9" s="2"/>
      <c r="B9" s="2"/>
      <c r="C9" s="2"/>
      <c r="D9" s="2"/>
      <c r="E9" s="2"/>
      <c r="F9" s="2"/>
      <c r="G9" s="2"/>
      <c r="H9" s="2"/>
      <c r="I9" s="2"/>
      <c r="J9" s="2"/>
      <c r="K9" s="2"/>
    </row>
    <row r="10" spans="1:13" x14ac:dyDescent="0.25">
      <c r="A10" s="2"/>
      <c r="B10" s="2"/>
      <c r="C10" s="2"/>
      <c r="D10" s="2"/>
      <c r="E10" s="2"/>
      <c r="F10" s="2"/>
      <c r="G10" s="2"/>
      <c r="H10" s="2"/>
      <c r="I10" s="2"/>
      <c r="J10" s="2"/>
      <c r="K10" s="2"/>
    </row>
    <row r="11" spans="1:13" x14ac:dyDescent="0.25">
      <c r="F11" s="8"/>
    </row>
  </sheetData>
  <dataValidations disablePrompts="1" count="1">
    <dataValidation type="whole" operator="greaterThanOrEqual" allowBlank="1" showInputMessage="1" showErrorMessage="1" sqref="B3" xr:uid="{00000000-0002-0000-0200-000000000000}">
      <formula1>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37"/>
  <sheetViews>
    <sheetView workbookViewId="0">
      <selection activeCell="A10" sqref="A10"/>
    </sheetView>
  </sheetViews>
  <sheetFormatPr defaultRowHeight="15" x14ac:dyDescent="0.25"/>
  <cols>
    <col min="1" max="1" width="18.42578125" customWidth="1"/>
    <col min="3" max="3" width="8.7109375" customWidth="1"/>
    <col min="11" max="11" width="9.140625" customWidth="1"/>
    <col min="14" max="14" width="13.85546875" customWidth="1"/>
  </cols>
  <sheetData>
    <row r="1" spans="1:26" x14ac:dyDescent="0.25">
      <c r="A1" s="18" t="s">
        <v>48</v>
      </c>
    </row>
    <row r="2" spans="1:26" x14ac:dyDescent="0.25">
      <c r="A2" t="s">
        <v>54</v>
      </c>
      <c r="K2" s="16" t="s">
        <v>56</v>
      </c>
    </row>
    <row r="3" spans="1:26" x14ac:dyDescent="0.25">
      <c r="A3" t="s">
        <v>55</v>
      </c>
      <c r="B3" s="2"/>
      <c r="C3" s="2"/>
      <c r="D3" s="2"/>
      <c r="E3" s="2"/>
      <c r="F3" s="2"/>
      <c r="G3" s="2"/>
      <c r="K3" s="16" t="s">
        <v>57</v>
      </c>
    </row>
    <row r="4" spans="1:26" x14ac:dyDescent="0.25">
      <c r="A4" t="s">
        <v>58</v>
      </c>
    </row>
    <row r="5" spans="1:26" x14ac:dyDescent="0.25">
      <c r="A5" t="s">
        <v>94</v>
      </c>
    </row>
    <row r="6" spans="1:26" x14ac:dyDescent="0.25">
      <c r="A6" t="s">
        <v>110</v>
      </c>
    </row>
    <row r="9" spans="1:26" x14ac:dyDescent="0.25">
      <c r="A9" s="13" t="s">
        <v>47</v>
      </c>
      <c r="C9" s="16"/>
    </row>
    <row r="10" spans="1:26" x14ac:dyDescent="0.25">
      <c r="A10" s="29"/>
      <c r="B10" s="30"/>
      <c r="C10" s="29"/>
      <c r="D10" s="31"/>
      <c r="E10" s="29"/>
      <c r="F10" s="31"/>
      <c r="G10" s="29"/>
      <c r="H10" s="31"/>
      <c r="I10" s="29"/>
      <c r="J10" s="31"/>
      <c r="K10" s="29"/>
      <c r="L10" s="31"/>
      <c r="M10" s="12"/>
      <c r="N10" s="13" t="s">
        <v>103</v>
      </c>
      <c r="O10" s="12"/>
      <c r="P10" s="12"/>
      <c r="Q10" s="12"/>
      <c r="R10" s="12"/>
      <c r="S10" s="12"/>
      <c r="T10" s="12"/>
      <c r="U10" s="12"/>
      <c r="V10" s="12"/>
      <c r="W10" s="12"/>
      <c r="X10" s="12"/>
    </row>
    <row r="11" spans="1:26" x14ac:dyDescent="0.25">
      <c r="A11" s="35" t="s">
        <v>92</v>
      </c>
      <c r="B11" s="34"/>
      <c r="C11" s="34"/>
      <c r="D11" s="34"/>
      <c r="E11" s="34"/>
      <c r="F11" s="34"/>
      <c r="G11" s="34"/>
      <c r="H11" s="34"/>
      <c r="I11" s="34"/>
      <c r="J11" s="34"/>
      <c r="K11" s="34"/>
      <c r="L11" s="34"/>
      <c r="M11" s="12"/>
      <c r="O11" s="13" t="s">
        <v>109</v>
      </c>
      <c r="P11" s="36"/>
      <c r="Q11" s="36"/>
      <c r="R11" s="12"/>
      <c r="S11" s="12"/>
      <c r="T11" s="12"/>
      <c r="U11" s="12"/>
      <c r="V11" s="12"/>
      <c r="W11" s="12"/>
      <c r="X11" s="12"/>
    </row>
    <row r="12" spans="1:26" x14ac:dyDescent="0.25">
      <c r="A12" s="32" t="s">
        <v>12</v>
      </c>
      <c r="B12" s="33" t="s">
        <v>12</v>
      </c>
      <c r="C12" s="32" t="s">
        <v>12</v>
      </c>
      <c r="D12" s="33" t="s">
        <v>12</v>
      </c>
      <c r="E12" s="32" t="s">
        <v>12</v>
      </c>
      <c r="F12" s="33" t="s">
        <v>12</v>
      </c>
      <c r="G12" s="32" t="s">
        <v>12</v>
      </c>
      <c r="H12" s="33" t="s">
        <v>12</v>
      </c>
      <c r="I12" s="32" t="s">
        <v>12</v>
      </c>
      <c r="J12" s="33" t="s">
        <v>12</v>
      </c>
      <c r="K12" s="32" t="s">
        <v>12</v>
      </c>
      <c r="L12" s="33" t="s">
        <v>12</v>
      </c>
      <c r="M12" s="12"/>
      <c r="N12" s="42" t="s">
        <v>80</v>
      </c>
      <c r="O12" s="42" t="s">
        <v>89</v>
      </c>
      <c r="P12" s="12"/>
      <c r="Q12" s="12"/>
      <c r="R12" s="12"/>
      <c r="S12" s="12"/>
      <c r="T12" s="12"/>
      <c r="U12" s="12"/>
      <c r="V12" s="12"/>
      <c r="W12" s="12"/>
      <c r="X12" s="12"/>
    </row>
    <row r="13" spans="1:26" x14ac:dyDescent="0.25">
      <c r="A13" s="12"/>
      <c r="B13" s="12"/>
      <c r="C13" s="12"/>
      <c r="D13" s="12"/>
      <c r="E13" s="12"/>
      <c r="F13" s="12"/>
      <c r="G13" s="12"/>
      <c r="H13" s="12"/>
      <c r="I13" s="12"/>
      <c r="J13" s="12"/>
      <c r="K13" s="12"/>
      <c r="L13" s="12"/>
      <c r="M13" s="12"/>
      <c r="N13" s="41" t="s">
        <v>104</v>
      </c>
      <c r="O13" s="41" t="s">
        <v>90</v>
      </c>
      <c r="P13" s="36"/>
      <c r="Q13" s="36"/>
      <c r="R13" s="12"/>
      <c r="S13" s="12"/>
      <c r="T13" s="12"/>
      <c r="U13" s="12"/>
      <c r="V13" s="12"/>
      <c r="W13" s="12"/>
      <c r="X13" s="12"/>
    </row>
    <row r="14" spans="1:26" x14ac:dyDescent="0.25">
      <c r="A14" s="13"/>
      <c r="B14" s="12"/>
      <c r="C14" s="13"/>
      <c r="D14" s="12"/>
      <c r="E14" s="12"/>
      <c r="F14" s="12"/>
      <c r="G14" s="12"/>
      <c r="H14" s="12"/>
      <c r="I14" s="12"/>
      <c r="J14" s="12"/>
      <c r="K14" s="12"/>
      <c r="L14" s="12"/>
      <c r="M14" s="12"/>
      <c r="N14" s="41" t="s">
        <v>106</v>
      </c>
      <c r="O14" s="41" t="s">
        <v>89</v>
      </c>
      <c r="P14" s="12"/>
      <c r="Q14" s="12"/>
      <c r="R14" s="12"/>
      <c r="S14" s="12"/>
      <c r="T14" s="12"/>
      <c r="U14" s="12"/>
      <c r="V14" s="12"/>
      <c r="W14" s="12"/>
      <c r="X14" s="12"/>
      <c r="Y14" s="12"/>
      <c r="Z14" s="12"/>
    </row>
    <row r="15" spans="1:26" x14ac:dyDescent="0.25">
      <c r="A15" s="12"/>
      <c r="B15" s="12"/>
      <c r="C15" s="12"/>
      <c r="D15" s="12"/>
      <c r="E15" s="12"/>
      <c r="F15" s="12"/>
      <c r="G15" s="12"/>
      <c r="H15" s="12"/>
      <c r="I15" s="12"/>
      <c r="J15" s="12"/>
      <c r="K15" s="12"/>
      <c r="L15" s="12"/>
      <c r="M15" s="12"/>
      <c r="N15" s="41" t="s">
        <v>105</v>
      </c>
      <c r="O15" s="41" t="s">
        <v>89</v>
      </c>
      <c r="P15" s="12"/>
      <c r="Q15" s="12"/>
      <c r="R15" s="12"/>
      <c r="S15" s="12"/>
      <c r="T15" s="12"/>
      <c r="U15" s="12"/>
      <c r="V15" s="12"/>
      <c r="W15" s="12"/>
      <c r="X15" s="12"/>
      <c r="Y15" s="12"/>
      <c r="Z15" s="12"/>
    </row>
    <row r="16" spans="1:26" x14ac:dyDescent="0.25">
      <c r="A16" s="12"/>
      <c r="B16" s="12"/>
      <c r="C16" s="12"/>
      <c r="D16" s="12"/>
      <c r="E16" s="12"/>
      <c r="F16" s="12"/>
      <c r="G16" s="12"/>
      <c r="H16" s="12"/>
      <c r="I16" s="12"/>
      <c r="J16" s="12"/>
      <c r="K16" s="12"/>
      <c r="L16" s="12"/>
      <c r="M16" s="12"/>
      <c r="N16" s="41" t="s">
        <v>107</v>
      </c>
      <c r="O16" s="41" t="s">
        <v>90</v>
      </c>
      <c r="P16" s="12"/>
      <c r="Q16" s="12"/>
      <c r="R16" s="12"/>
      <c r="S16" s="12"/>
      <c r="T16" s="12"/>
      <c r="U16" s="12"/>
      <c r="V16" s="12"/>
      <c r="W16" s="12"/>
      <c r="X16" s="12"/>
      <c r="Y16" s="12"/>
      <c r="Z16" s="12"/>
    </row>
    <row r="17" spans="1:26" x14ac:dyDescent="0.25">
      <c r="A17" s="12"/>
      <c r="B17" s="12"/>
      <c r="C17" s="12"/>
      <c r="D17" s="12"/>
      <c r="E17" s="12"/>
      <c r="F17" s="12"/>
      <c r="G17" s="12"/>
      <c r="H17" s="12"/>
      <c r="I17" s="12"/>
      <c r="J17" s="12"/>
      <c r="N17" s="41" t="s">
        <v>108</v>
      </c>
      <c r="O17" s="42" t="s">
        <v>90</v>
      </c>
      <c r="P17" s="12"/>
      <c r="Q17" s="12"/>
      <c r="R17" s="12"/>
      <c r="S17" s="12"/>
      <c r="T17" s="12"/>
      <c r="U17" s="12"/>
      <c r="V17" s="12"/>
      <c r="W17" s="12"/>
      <c r="X17" s="12"/>
      <c r="Y17" s="12"/>
      <c r="Z17" s="12"/>
    </row>
    <row r="18" spans="1:26" x14ac:dyDescent="0.25">
      <c r="A18" s="12"/>
      <c r="B18" s="36"/>
      <c r="C18" s="36"/>
      <c r="D18" s="36"/>
      <c r="E18" s="36"/>
      <c r="F18" s="36"/>
      <c r="G18" s="36"/>
      <c r="H18" s="36"/>
      <c r="I18" s="36"/>
      <c r="J18" s="36"/>
      <c r="P18" s="36"/>
      <c r="Q18" s="36"/>
      <c r="R18" s="36"/>
      <c r="S18" s="36"/>
      <c r="T18" s="36"/>
      <c r="U18" s="36"/>
      <c r="V18" s="36"/>
      <c r="W18" s="36"/>
      <c r="X18" s="36"/>
      <c r="Y18" s="36"/>
      <c r="Z18" s="12"/>
    </row>
    <row r="19" spans="1:26" x14ac:dyDescent="0.25">
      <c r="A19" s="12"/>
      <c r="B19" s="12"/>
      <c r="C19" s="12"/>
      <c r="D19" s="12"/>
      <c r="E19" s="12"/>
      <c r="F19" s="12"/>
      <c r="G19" s="12"/>
      <c r="H19" s="12"/>
      <c r="I19" s="12"/>
      <c r="J19" s="12"/>
      <c r="S19" s="12"/>
      <c r="T19" s="12"/>
      <c r="U19" s="12"/>
      <c r="V19" s="12"/>
      <c r="W19" s="12"/>
      <c r="X19" s="12"/>
      <c r="Y19" s="12"/>
      <c r="Z19" s="12"/>
    </row>
    <row r="20" spans="1:26" x14ac:dyDescent="0.25">
      <c r="A20" s="12"/>
      <c r="B20" s="36"/>
      <c r="C20" s="36"/>
      <c r="D20" s="36"/>
      <c r="E20" s="36"/>
      <c r="F20" s="36"/>
      <c r="G20" s="36"/>
      <c r="H20" s="36"/>
      <c r="I20" s="36"/>
      <c r="J20" s="36"/>
      <c r="N20" s="16" t="s">
        <v>115</v>
      </c>
      <c r="S20" s="36"/>
      <c r="T20" s="36"/>
      <c r="U20" s="36"/>
      <c r="V20" s="36"/>
      <c r="W20" s="36"/>
      <c r="X20" s="36"/>
      <c r="Y20" s="36"/>
      <c r="Z20" s="12"/>
    </row>
    <row r="21" spans="1:26" x14ac:dyDescent="0.25">
      <c r="A21" s="12"/>
      <c r="B21" s="12"/>
      <c r="C21" s="12"/>
      <c r="D21" s="12"/>
      <c r="E21" s="12"/>
      <c r="F21" s="12"/>
      <c r="G21" s="12"/>
      <c r="H21" s="12"/>
      <c r="I21" s="12"/>
      <c r="J21" s="12"/>
      <c r="N21" s="43" t="s">
        <v>81</v>
      </c>
      <c r="O21" s="43" t="s">
        <v>112</v>
      </c>
      <c r="P21" s="43" t="s">
        <v>113</v>
      </c>
      <c r="Q21" s="43" t="s">
        <v>114</v>
      </c>
      <c r="R21" s="40"/>
      <c r="S21" s="12"/>
      <c r="T21" s="12"/>
      <c r="U21" s="12"/>
      <c r="V21" s="12"/>
      <c r="W21" s="12"/>
      <c r="X21" s="12"/>
      <c r="Y21" s="12"/>
      <c r="Z21" s="12"/>
    </row>
    <row r="22" spans="1:26" x14ac:dyDescent="0.25">
      <c r="A22" s="12"/>
      <c r="B22" s="36"/>
      <c r="C22" s="36"/>
      <c r="D22" s="36"/>
      <c r="E22" s="36"/>
      <c r="F22" s="36"/>
      <c r="G22" s="36"/>
      <c r="H22" s="36"/>
      <c r="I22" s="36"/>
      <c r="J22" s="36"/>
      <c r="K22" s="36"/>
      <c r="L22" s="36"/>
      <c r="M22" s="36"/>
      <c r="N22" s="40"/>
      <c r="S22" s="36"/>
      <c r="T22" s="36"/>
      <c r="U22" s="36"/>
      <c r="V22" s="36"/>
      <c r="W22" s="36"/>
      <c r="X22" s="36"/>
      <c r="Y22" s="36"/>
      <c r="Z22" s="12"/>
    </row>
    <row r="23" spans="1:26" x14ac:dyDescent="0.25">
      <c r="A23" s="12"/>
      <c r="B23" s="12"/>
      <c r="C23" s="12"/>
      <c r="D23" s="12"/>
      <c r="E23" s="12"/>
      <c r="F23" s="12"/>
      <c r="G23" s="12"/>
      <c r="H23" s="12"/>
      <c r="I23" s="12"/>
      <c r="J23" s="12"/>
      <c r="K23" s="12"/>
      <c r="L23" s="12"/>
      <c r="M23" s="12"/>
      <c r="N23" s="13" t="s">
        <v>116</v>
      </c>
      <c r="O23" s="12"/>
      <c r="P23" s="12"/>
      <c r="Q23" s="12"/>
      <c r="R23" s="12"/>
      <c r="S23" s="12"/>
      <c r="T23" s="12"/>
      <c r="U23" s="12"/>
      <c r="V23" s="12"/>
      <c r="W23" s="12"/>
      <c r="X23" s="12"/>
      <c r="Y23" s="12"/>
      <c r="Z23" s="12"/>
    </row>
    <row r="24" spans="1:26" x14ac:dyDescent="0.25">
      <c r="A24" s="12"/>
      <c r="B24" s="36"/>
      <c r="C24" s="36"/>
      <c r="D24" s="36"/>
      <c r="E24" s="36"/>
      <c r="F24" s="36"/>
      <c r="G24" s="36"/>
      <c r="H24" s="36"/>
      <c r="I24" s="36"/>
      <c r="J24" s="36"/>
      <c r="K24" s="36"/>
      <c r="L24" s="36"/>
      <c r="M24" s="36"/>
      <c r="N24" s="36" t="s">
        <v>81</v>
      </c>
      <c r="O24" s="42" t="s">
        <v>120</v>
      </c>
      <c r="P24" s="36"/>
      <c r="Q24" s="36"/>
      <c r="R24" s="36"/>
      <c r="S24" s="36"/>
      <c r="T24" s="36"/>
      <c r="U24" s="36"/>
      <c r="V24" s="36"/>
      <c r="W24" s="36"/>
      <c r="X24" s="36"/>
      <c r="Y24" s="36"/>
      <c r="Z24" s="12"/>
    </row>
    <row r="25" spans="1:26" x14ac:dyDescent="0.25">
      <c r="A25" s="12"/>
      <c r="B25" s="12"/>
      <c r="C25" s="12"/>
      <c r="D25" s="12"/>
      <c r="E25" s="12"/>
      <c r="F25" s="12"/>
      <c r="G25" s="12"/>
      <c r="H25" s="12"/>
      <c r="I25" s="12"/>
      <c r="J25" s="12"/>
      <c r="K25" s="12"/>
      <c r="L25" s="12"/>
      <c r="M25" s="12"/>
      <c r="N25" s="12" t="s">
        <v>112</v>
      </c>
      <c r="O25" s="41" t="s">
        <v>44</v>
      </c>
      <c r="P25" s="41" t="s">
        <v>43</v>
      </c>
      <c r="Q25" s="41" t="s">
        <v>117</v>
      </c>
      <c r="R25" s="12"/>
      <c r="S25" s="12"/>
      <c r="T25" s="12"/>
      <c r="U25" s="12"/>
      <c r="V25" s="12"/>
      <c r="W25" s="12"/>
      <c r="X25" s="12"/>
      <c r="Y25" s="12"/>
      <c r="Z25" s="12"/>
    </row>
    <row r="26" spans="1:26" x14ac:dyDescent="0.25">
      <c r="A26" s="12"/>
      <c r="B26" s="36"/>
      <c r="C26" s="36"/>
      <c r="D26" s="36"/>
      <c r="E26" s="36"/>
      <c r="F26" s="36"/>
      <c r="G26" s="36"/>
      <c r="H26" s="36"/>
      <c r="I26" s="36"/>
      <c r="J26" s="36"/>
      <c r="K26" s="36"/>
      <c r="L26" s="36"/>
      <c r="M26" s="36"/>
      <c r="N26" s="36" t="s">
        <v>113</v>
      </c>
      <c r="O26" s="36" t="s">
        <v>118</v>
      </c>
      <c r="P26" s="36"/>
      <c r="Q26" s="36"/>
      <c r="R26" s="36"/>
      <c r="S26" s="36"/>
      <c r="T26" s="36"/>
      <c r="U26" s="36"/>
      <c r="V26" s="36"/>
      <c r="W26" s="36"/>
      <c r="X26" s="36"/>
      <c r="Y26" s="36"/>
      <c r="Z26" s="12"/>
    </row>
    <row r="27" spans="1:26" x14ac:dyDescent="0.25">
      <c r="A27" s="12"/>
      <c r="B27" s="12"/>
      <c r="C27" s="12"/>
      <c r="D27" s="12"/>
      <c r="E27" s="12"/>
      <c r="F27" s="12"/>
      <c r="G27" s="12"/>
      <c r="H27" s="12"/>
      <c r="I27" s="12"/>
      <c r="J27" s="12"/>
      <c r="K27" s="12"/>
      <c r="L27" s="12"/>
      <c r="M27" s="12"/>
      <c r="N27" s="12" t="s">
        <v>114</v>
      </c>
      <c r="O27" s="12" t="s">
        <v>119</v>
      </c>
      <c r="P27" s="12"/>
      <c r="Q27" s="12"/>
      <c r="R27" s="12"/>
      <c r="S27" s="12"/>
      <c r="T27" s="12"/>
      <c r="U27" s="12"/>
      <c r="V27" s="12"/>
      <c r="W27" s="12"/>
      <c r="X27" s="12"/>
      <c r="Y27" s="12"/>
      <c r="Z27" s="12"/>
    </row>
    <row r="28" spans="1:26" x14ac:dyDescent="0.25">
      <c r="A28" s="12"/>
      <c r="B28" s="36"/>
      <c r="C28" s="36"/>
      <c r="D28" s="36"/>
      <c r="E28" s="36"/>
      <c r="F28" s="36"/>
      <c r="G28" s="36"/>
      <c r="H28" s="36"/>
      <c r="I28" s="36"/>
      <c r="J28" s="36"/>
      <c r="K28" s="36"/>
      <c r="L28" s="36"/>
      <c r="M28" s="36"/>
      <c r="N28" s="36"/>
      <c r="O28" s="36"/>
      <c r="P28" s="36"/>
      <c r="Q28" s="36"/>
      <c r="R28" s="36"/>
      <c r="S28" s="36"/>
      <c r="T28" s="36"/>
      <c r="U28" s="36"/>
      <c r="V28" s="36"/>
      <c r="W28" s="36"/>
      <c r="X28" s="36"/>
      <c r="Y28" s="36"/>
      <c r="Z28" s="12"/>
    </row>
    <row r="29" spans="1:26" x14ac:dyDescent="0.2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x14ac:dyDescent="0.25">
      <c r="A30" s="12"/>
      <c r="B30" s="36"/>
      <c r="C30" s="36"/>
      <c r="D30" s="36"/>
      <c r="E30" s="36"/>
      <c r="F30" s="36"/>
      <c r="G30" s="36"/>
      <c r="H30" s="36"/>
      <c r="I30" s="36"/>
      <c r="J30" s="36"/>
      <c r="K30" s="36"/>
      <c r="L30" s="36"/>
      <c r="M30" s="36"/>
      <c r="N30" s="36"/>
      <c r="O30" s="36"/>
      <c r="P30" s="36"/>
      <c r="Q30" s="36"/>
      <c r="R30" s="36"/>
      <c r="S30" s="36"/>
      <c r="T30" s="36"/>
      <c r="U30" s="36"/>
      <c r="V30" s="36"/>
      <c r="W30" s="36"/>
      <c r="X30" s="36"/>
      <c r="Y30" s="36"/>
      <c r="Z30" s="12"/>
    </row>
    <row r="31" spans="1:26" x14ac:dyDescent="0.2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x14ac:dyDescent="0.25">
      <c r="A32" s="12"/>
      <c r="B32" s="36"/>
      <c r="C32" s="36"/>
      <c r="D32" s="36"/>
      <c r="E32" s="36"/>
      <c r="F32" s="36"/>
      <c r="G32" s="36"/>
      <c r="H32" s="36"/>
      <c r="I32" s="36"/>
      <c r="J32" s="36"/>
      <c r="K32" s="36"/>
      <c r="L32" s="36"/>
      <c r="M32" s="36"/>
      <c r="N32" s="36"/>
      <c r="O32" s="36"/>
      <c r="P32" s="36"/>
      <c r="Q32" s="36"/>
      <c r="R32" s="36"/>
      <c r="S32" s="36"/>
      <c r="T32" s="36"/>
      <c r="U32" s="36"/>
      <c r="V32" s="36"/>
      <c r="W32" s="36"/>
      <c r="X32" s="36"/>
      <c r="Y32" s="36"/>
      <c r="Z32" s="12"/>
    </row>
    <row r="33" spans="1:26" x14ac:dyDescent="0.2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x14ac:dyDescent="0.25">
      <c r="A34" s="12"/>
      <c r="B34" s="36"/>
      <c r="C34" s="36"/>
      <c r="D34" s="36"/>
      <c r="E34" s="36"/>
      <c r="F34" s="36"/>
      <c r="G34" s="36"/>
      <c r="H34" s="36"/>
      <c r="I34" s="36"/>
      <c r="J34" s="36"/>
      <c r="K34" s="36"/>
      <c r="L34" s="36"/>
      <c r="M34" s="36"/>
      <c r="N34" s="36"/>
      <c r="O34" s="36"/>
      <c r="P34" s="36"/>
      <c r="Q34" s="36"/>
      <c r="R34" s="36"/>
      <c r="S34" s="36"/>
      <c r="T34" s="36"/>
      <c r="U34" s="36"/>
      <c r="V34" s="36"/>
      <c r="W34" s="36"/>
      <c r="X34" s="36"/>
      <c r="Y34" s="36"/>
      <c r="Z34" s="12"/>
    </row>
    <row r="35" spans="1:26" x14ac:dyDescent="0.2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x14ac:dyDescent="0.25">
      <c r="A36" s="12"/>
      <c r="B36" s="36"/>
      <c r="C36" s="36"/>
      <c r="D36" s="36"/>
      <c r="E36" s="36"/>
      <c r="F36" s="36"/>
      <c r="G36" s="36"/>
      <c r="H36" s="36"/>
      <c r="I36" s="36"/>
      <c r="J36" s="36"/>
      <c r="K36" s="36"/>
      <c r="L36" s="36"/>
      <c r="M36" s="36"/>
      <c r="N36" s="36"/>
      <c r="O36" s="36"/>
      <c r="P36" s="36"/>
      <c r="Q36" s="36"/>
      <c r="R36" s="36"/>
      <c r="S36" s="36"/>
      <c r="T36" s="36"/>
      <c r="U36" s="36"/>
      <c r="V36" s="36"/>
      <c r="W36" s="36"/>
      <c r="X36" s="36"/>
      <c r="Y36" s="36"/>
      <c r="Z36" s="12"/>
    </row>
    <row r="37" spans="1:26" x14ac:dyDescent="0.2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sheetData>
  <conditionalFormatting sqref="A12:L12">
    <cfRule type="expression" dxfId="7" priority="2">
      <formula>AND(A10&lt;&gt;none, A10&lt;&gt;select_label, OR(A12=none, A12=select_label))</formula>
    </cfRule>
  </conditionalFormatting>
  <conditionalFormatting sqref="A10:L10">
    <cfRule type="expression" dxfId="6" priority="1">
      <formula>AND(OR(A10=none, A10=select_label), AND(A12&lt;&gt;none, A12&lt;&gt;select_label))</formula>
    </cfRule>
  </conditionalFormatting>
  <dataValidations count="1">
    <dataValidation type="list" allowBlank="1" showInputMessage="1" showErrorMessage="1" sqref="A12:L12" xr:uid="{7E224326-D220-4283-AC15-4B58B84DE2D0}">
      <formula1>pop_scaling_options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reateObsSheets">
                <anchor moveWithCells="1" sizeWithCells="1">
                  <from>
                    <xdr:col>8</xdr:col>
                    <xdr:colOff>57150</xdr:colOff>
                    <xdr:row>0</xdr:row>
                    <xdr:rowOff>133350</xdr:rowOff>
                  </from>
                  <to>
                    <xdr:col>9</xdr:col>
                    <xdr:colOff>581025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7" sqref="A7"/>
    </sheetView>
  </sheetViews>
  <sheetFormatPr defaultRowHeight="15" x14ac:dyDescent="0.25"/>
  <cols>
    <col min="1" max="1" width="14.42578125" customWidth="1"/>
    <col min="2" max="2" width="10.7109375" customWidth="1"/>
    <col min="3" max="3" width="13.140625" bestFit="1" customWidth="1"/>
    <col min="4" max="4" width="11.140625" customWidth="1"/>
    <col min="5" max="5" width="22.42578125" customWidth="1"/>
    <col min="6" max="6" width="14.42578125" customWidth="1"/>
    <col min="7" max="7" width="10.5703125" customWidth="1"/>
    <col min="8" max="8" width="13.140625" customWidth="1"/>
    <col min="10" max="10" width="7.7109375" customWidth="1"/>
    <col min="11" max="11" width="22.42578125" customWidth="1"/>
  </cols>
  <sheetData>
    <row r="1" spans="1:8" x14ac:dyDescent="0.25">
      <c r="A1" s="16" t="s">
        <v>48</v>
      </c>
    </row>
    <row r="2" spans="1:8" x14ac:dyDescent="0.25">
      <c r="A2" s="24" t="s">
        <v>78</v>
      </c>
    </row>
    <row r="3" spans="1:8" x14ac:dyDescent="0.25">
      <c r="A3" t="s">
        <v>70</v>
      </c>
      <c r="D3" s="16" t="s">
        <v>53</v>
      </c>
    </row>
    <row r="4" spans="1:8" x14ac:dyDescent="0.25">
      <c r="A4" t="s">
        <v>77</v>
      </c>
    </row>
    <row r="6" spans="1:8" x14ac:dyDescent="0.25">
      <c r="A6" s="9" t="s">
        <v>60</v>
      </c>
      <c r="B6" s="9" t="s">
        <v>68</v>
      </c>
      <c r="C6" s="9" t="s">
        <v>61</v>
      </c>
      <c r="D6" s="9" t="s">
        <v>74</v>
      </c>
      <c r="E6" s="9" t="s">
        <v>67</v>
      </c>
      <c r="F6" s="9" t="s">
        <v>75</v>
      </c>
      <c r="H6" s="12"/>
    </row>
    <row r="7" spans="1:8" x14ac:dyDescent="0.25">
      <c r="A7" s="28" t="s">
        <v>12</v>
      </c>
      <c r="B7" s="6" t="s">
        <v>12</v>
      </c>
      <c r="C7" s="6" t="s">
        <v>12</v>
      </c>
      <c r="D7" s="6" t="s">
        <v>12</v>
      </c>
      <c r="E7" s="6"/>
      <c r="F7" s="6"/>
    </row>
    <row r="8" spans="1:8" x14ac:dyDescent="0.25">
      <c r="A8" s="7" t="s">
        <v>12</v>
      </c>
      <c r="B8" s="7" t="s">
        <v>12</v>
      </c>
      <c r="C8" s="7" t="s">
        <v>12</v>
      </c>
      <c r="D8" s="7" t="s">
        <v>12</v>
      </c>
      <c r="E8" s="7"/>
      <c r="F8" s="7"/>
    </row>
    <row r="9" spans="1:8" x14ac:dyDescent="0.25">
      <c r="A9" s="6" t="s">
        <v>12</v>
      </c>
      <c r="B9" s="6" t="s">
        <v>12</v>
      </c>
      <c r="C9" s="6" t="s">
        <v>12</v>
      </c>
      <c r="D9" s="6" t="s">
        <v>12</v>
      </c>
      <c r="E9" s="6"/>
      <c r="F9" s="6"/>
    </row>
    <row r="10" spans="1:8" x14ac:dyDescent="0.25">
      <c r="A10" s="7" t="s">
        <v>12</v>
      </c>
      <c r="B10" s="7" t="s">
        <v>12</v>
      </c>
      <c r="C10" s="7" t="s">
        <v>12</v>
      </c>
      <c r="D10" s="7" t="s">
        <v>12</v>
      </c>
      <c r="E10" s="7"/>
      <c r="F10" s="7"/>
    </row>
    <row r="11" spans="1:8" x14ac:dyDescent="0.25">
      <c r="A11" s="6" t="s">
        <v>12</v>
      </c>
      <c r="B11" s="6" t="s">
        <v>12</v>
      </c>
      <c r="C11" s="6" t="s">
        <v>12</v>
      </c>
      <c r="D11" s="6" t="s">
        <v>12</v>
      </c>
      <c r="E11" s="6"/>
      <c r="F11" s="6"/>
    </row>
    <row r="12" spans="1:8" x14ac:dyDescent="0.25">
      <c r="A12" s="7" t="s">
        <v>12</v>
      </c>
      <c r="B12" s="7" t="s">
        <v>12</v>
      </c>
      <c r="C12" s="7" t="s">
        <v>12</v>
      </c>
      <c r="D12" s="7" t="s">
        <v>12</v>
      </c>
      <c r="E12" s="7"/>
      <c r="F12" s="7"/>
    </row>
    <row r="13" spans="1:8" x14ac:dyDescent="0.25">
      <c r="A13" s="6" t="s">
        <v>12</v>
      </c>
      <c r="B13" s="6" t="s">
        <v>12</v>
      </c>
      <c r="C13" s="6" t="s">
        <v>12</v>
      </c>
      <c r="D13" s="6" t="s">
        <v>12</v>
      </c>
      <c r="E13" s="6"/>
      <c r="F13" s="6"/>
    </row>
    <row r="14" spans="1:8" x14ac:dyDescent="0.25">
      <c r="A14" s="7" t="s">
        <v>12</v>
      </c>
      <c r="B14" s="7" t="s">
        <v>12</v>
      </c>
      <c r="C14" s="7" t="s">
        <v>12</v>
      </c>
      <c r="D14" s="7" t="s">
        <v>12</v>
      </c>
      <c r="E14" s="7"/>
      <c r="F14" s="7"/>
    </row>
    <row r="15" spans="1:8" x14ac:dyDescent="0.25">
      <c r="A15" s="6" t="s">
        <v>12</v>
      </c>
      <c r="B15" s="6" t="s">
        <v>12</v>
      </c>
      <c r="C15" s="6" t="s">
        <v>12</v>
      </c>
      <c r="D15" s="6" t="s">
        <v>12</v>
      </c>
      <c r="E15" s="6"/>
      <c r="F15" s="6"/>
    </row>
    <row r="16" spans="1:8" x14ac:dyDescent="0.25">
      <c r="A16" s="7" t="s">
        <v>12</v>
      </c>
      <c r="B16" s="7" t="s">
        <v>12</v>
      </c>
      <c r="C16" s="7" t="s">
        <v>12</v>
      </c>
      <c r="D16" s="7" t="s">
        <v>12</v>
      </c>
      <c r="E16" s="7"/>
      <c r="F16" s="7"/>
    </row>
  </sheetData>
  <conditionalFormatting sqref="F7:F16">
    <cfRule type="expression" dxfId="5" priority="1">
      <formula>AND(D7="Custom", F7=none, AND(A7&lt;&gt;select_label, A7&lt;&gt;none))</formula>
    </cfRule>
    <cfRule type="expression" dxfId="4" priority="6">
      <formula>D7&lt;&gt;"Custom"</formula>
    </cfRule>
  </conditionalFormatting>
  <conditionalFormatting sqref="B7:B16">
    <cfRule type="expression" dxfId="3" priority="5">
      <formula>AND(OR(B7=select_label, B7=none), AND(A7&lt;&gt;select_label, A7&lt;&gt;none))</formula>
    </cfRule>
  </conditionalFormatting>
  <conditionalFormatting sqref="C7:C16">
    <cfRule type="expression" dxfId="2" priority="4">
      <formula>AND(OR(C7=select_label, C7=none), AND(A7&lt;&gt;select_label, A7&lt;&gt;none))</formula>
    </cfRule>
  </conditionalFormatting>
  <conditionalFormatting sqref="D7:D16">
    <cfRule type="expression" dxfId="1" priority="3">
      <formula>AND(OR(D7=select_label, D7=none), AND(A7&lt;&gt;select_label, A7&lt;&gt;none))</formula>
    </cfRule>
  </conditionalFormatting>
  <conditionalFormatting sqref="E7:E16">
    <cfRule type="expression" dxfId="0" priority="2">
      <formula>AND(OR(E7=select_label, E7=none), AND(A7&lt;&gt;select_label, A7&lt;&gt;none))</formula>
    </cfRule>
  </conditionalFormatting>
  <dataValidations count="4">
    <dataValidation type="list" allowBlank="1" showInputMessage="1" showErrorMessage="1" sqref="C7:C16" xr:uid="{00000000-0002-0000-0400-000000000000}">
      <formula1>provinciality</formula1>
    </dataValidation>
    <dataValidation type="list" allowBlank="1" showInputMessage="1" showErrorMessage="1" sqref="A7:A16" xr:uid="{00000000-0002-0000-0400-000001000000}">
      <formula1>allowed_data_channels</formula1>
    </dataValidation>
    <dataValidation type="list" allowBlank="1" showInputMessage="1" showErrorMessage="1" sqref="D7:D16" xr:uid="{00000000-0002-0000-0400-000002000000}">
      <formula1>age_bin_selection</formula1>
    </dataValidation>
    <dataValidation type="list" allowBlank="1" showInputMessage="1" showErrorMessage="1" sqref="B7:B16" xr:uid="{00000000-0002-0000-0400-000003000000}">
      <formula1>allowed_distributions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26"/>
  <sheetViews>
    <sheetView workbookViewId="0"/>
  </sheetViews>
  <sheetFormatPr defaultRowHeight="15" x14ac:dyDescent="0.25"/>
  <cols>
    <col min="1" max="1" width="15.5703125" bestFit="1" customWidth="1"/>
    <col min="2" max="2" width="18.140625" bestFit="1" customWidth="1"/>
    <col min="3" max="3" width="8.140625" bestFit="1" customWidth="1"/>
    <col min="4" max="4" width="14.5703125" bestFit="1" customWidth="1"/>
    <col min="5" max="5" width="5.140625" bestFit="1" customWidth="1"/>
    <col min="6" max="6" width="19" bestFit="1" customWidth="1"/>
    <col min="7" max="7" width="13.140625" bestFit="1" customWidth="1"/>
    <col min="8" max="8" width="20.5703125" bestFit="1" customWidth="1"/>
    <col min="10" max="10" width="11.28515625" customWidth="1"/>
    <col min="11" max="11" width="18.140625" bestFit="1" customWidth="1"/>
  </cols>
  <sheetData>
    <row r="1" spans="1:11" s="3" customFormat="1" x14ac:dyDescent="0.25">
      <c r="A1" s="3" t="s">
        <v>11</v>
      </c>
      <c r="B1" s="25" t="s">
        <v>13</v>
      </c>
      <c r="C1" s="3" t="s">
        <v>17</v>
      </c>
      <c r="D1" s="3" t="s">
        <v>42</v>
      </c>
      <c r="E1" s="3" t="s">
        <v>50</v>
      </c>
      <c r="F1" s="3" t="s">
        <v>76</v>
      </c>
      <c r="G1" s="3" t="s">
        <v>62</v>
      </c>
      <c r="H1" s="3" t="s">
        <v>69</v>
      </c>
      <c r="I1" s="3" t="s">
        <v>71</v>
      </c>
      <c r="J1" s="3" t="s">
        <v>79</v>
      </c>
      <c r="K1" s="3" t="s">
        <v>91</v>
      </c>
    </row>
    <row r="2" spans="1:11" x14ac:dyDescent="0.25">
      <c r="A2" s="26" t="s">
        <v>12</v>
      </c>
      <c r="B2" s="26" t="s">
        <v>12</v>
      </c>
      <c r="C2" s="26" t="s">
        <v>12</v>
      </c>
      <c r="D2" s="26" t="s">
        <v>12</v>
      </c>
      <c r="E2" s="26" t="s">
        <v>51</v>
      </c>
      <c r="F2" s="26" t="s">
        <v>12</v>
      </c>
      <c r="G2" s="26" t="s">
        <v>12</v>
      </c>
      <c r="H2" s="26" t="s">
        <v>12</v>
      </c>
      <c r="I2" s="26" t="s">
        <v>12</v>
      </c>
      <c r="J2" s="26" t="s">
        <v>12</v>
      </c>
      <c r="K2" s="26" t="s">
        <v>12</v>
      </c>
    </row>
    <row r="3" spans="1:11" x14ac:dyDescent="0.25">
      <c r="A3" s="27" t="b">
        <v>1</v>
      </c>
      <c r="B3" s="27" t="s">
        <v>14</v>
      </c>
      <c r="C3" s="27" t="s">
        <v>18</v>
      </c>
      <c r="D3" s="27" t="s">
        <v>43</v>
      </c>
      <c r="F3" s="27" t="s">
        <v>65</v>
      </c>
      <c r="G3" s="27" t="s">
        <v>63</v>
      </c>
      <c r="H3" s="27" t="str">
        <f t="array" ref="H3:H14">TRANSPOSE(IF('Observations metadata'!obs_data_channels="","",'Observations metadata'!obs_data_channels))</f>
        <v/>
      </c>
      <c r="I3" s="27" t="s">
        <v>72</v>
      </c>
      <c r="K3" s="27" t="s">
        <v>89</v>
      </c>
    </row>
    <row r="4" spans="1:11" x14ac:dyDescent="0.25">
      <c r="A4" s="27" t="b">
        <v>0</v>
      </c>
      <c r="B4" s="27" t="s">
        <v>15</v>
      </c>
      <c r="C4" s="27" t="s">
        <v>19</v>
      </c>
      <c r="D4" s="27" t="s">
        <v>44</v>
      </c>
      <c r="F4" s="27" t="s">
        <v>66</v>
      </c>
      <c r="G4" s="27" t="s">
        <v>64</v>
      </c>
      <c r="H4" s="27" t="str">
        <v/>
      </c>
      <c r="I4" s="27" t="s">
        <v>73</v>
      </c>
      <c r="K4" s="27" t="s">
        <v>90</v>
      </c>
    </row>
    <row r="5" spans="1:11" x14ac:dyDescent="0.25">
      <c r="B5" s="27" t="s">
        <v>16</v>
      </c>
      <c r="C5" s="27" t="s">
        <v>20</v>
      </c>
      <c r="D5" s="27" t="s">
        <v>45</v>
      </c>
      <c r="H5" s="27" t="str">
        <v/>
      </c>
    </row>
    <row r="6" spans="1:11" x14ac:dyDescent="0.25">
      <c r="H6" s="27" t="str">
        <v/>
      </c>
    </row>
    <row r="7" spans="1:11" x14ac:dyDescent="0.25">
      <c r="H7" s="27" t="str">
        <v/>
      </c>
    </row>
    <row r="8" spans="1:11" x14ac:dyDescent="0.25">
      <c r="H8" s="27" t="str">
        <v/>
      </c>
    </row>
    <row r="9" spans="1:11" x14ac:dyDescent="0.25">
      <c r="H9" s="27" t="str">
        <v/>
      </c>
    </row>
    <row r="10" spans="1:11" x14ac:dyDescent="0.25">
      <c r="H10" s="27" t="str">
        <v/>
      </c>
    </row>
    <row r="11" spans="1:11" x14ac:dyDescent="0.25">
      <c r="H11" s="27" t="str">
        <v/>
      </c>
    </row>
    <row r="12" spans="1:11" x14ac:dyDescent="0.25">
      <c r="H12" s="27" t="str">
        <v/>
      </c>
    </row>
    <row r="13" spans="1:11" x14ac:dyDescent="0.25">
      <c r="H13" s="27" t="str">
        <v/>
      </c>
    </row>
    <row r="14" spans="1:11" x14ac:dyDescent="0.25">
      <c r="H14" s="27" t="str">
        <v/>
      </c>
    </row>
    <row r="26" spans="2:2" x14ac:dyDescent="0.25">
      <c r="B26"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38</vt:i4>
      </vt:variant>
    </vt:vector>
  </HeadingPairs>
  <TitlesOfParts>
    <vt:vector size="46" baseType="lpstr">
      <vt:lpstr>General</vt:lpstr>
      <vt:lpstr>walkthrough</vt:lpstr>
      <vt:lpstr>Site</vt:lpstr>
      <vt:lpstr>Model Parameters</vt:lpstr>
      <vt:lpstr>OptimTool parameters</vt:lpstr>
      <vt:lpstr>Observations metadata</vt:lpstr>
      <vt:lpstr>Analyzers</vt:lpstr>
      <vt:lpstr>Options</vt:lpstr>
      <vt:lpstr>age_bin_selection</vt:lpstr>
      <vt:lpstr>Analyzers!age_bins</vt:lpstr>
      <vt:lpstr>allowed_data_channels</vt:lpstr>
      <vt:lpstr>allowed_distributions</vt:lpstr>
      <vt:lpstr>boolean_selection</vt:lpstr>
      <vt:lpstr>calibration_methods</vt:lpstr>
      <vt:lpstr>'Observations metadata'!channel_pop_scaling</vt:lpstr>
      <vt:lpstr>Analyzers!channels</vt:lpstr>
      <vt:lpstr>Analyzers!custom_age_bins</vt:lpstr>
      <vt:lpstr>diseases</vt:lpstr>
      <vt:lpstr>Analyzers!distributions</vt:lpstr>
      <vt:lpstr>'Model Parameters'!dynamic</vt:lpstr>
      <vt:lpstr>General!form_version</vt:lpstr>
      <vt:lpstr>gender_selection</vt:lpstr>
      <vt:lpstr>'Model Parameters'!initial_value</vt:lpstr>
      <vt:lpstr>'Model Parameters'!map_to</vt:lpstr>
      <vt:lpstr>'Model Parameters'!max</vt:lpstr>
      <vt:lpstr>'Model Parameters'!min</vt:lpstr>
      <vt:lpstr>'OptimTool parameters'!n_center_repeats</vt:lpstr>
      <vt:lpstr>n_replicates</vt:lpstr>
      <vt:lpstr>'OptimTool parameters'!n_samples_per_iteration</vt:lpstr>
      <vt:lpstr>'Model Parameters'!name</vt:lpstr>
      <vt:lpstr>none</vt:lpstr>
      <vt:lpstr>obs_asset_collection_id</vt:lpstr>
      <vt:lpstr>'Observations metadata'!obs_data_channels</vt:lpstr>
      <vt:lpstr>'Observations metadata'!obs_metadata</vt:lpstr>
      <vt:lpstr>pop_scaling_options</vt:lpstr>
      <vt:lpstr>Analyzers!provincialities</vt:lpstr>
      <vt:lpstr>provinciality</vt:lpstr>
      <vt:lpstr>select_label</vt:lpstr>
      <vt:lpstr>Site!site_age_bin</vt:lpstr>
      <vt:lpstr>Site!site_name</vt:lpstr>
      <vt:lpstr>Site!site_node_names</vt:lpstr>
      <vt:lpstr>Site!site_node_numbers</vt:lpstr>
      <vt:lpstr>Site!site_population</vt:lpstr>
      <vt:lpstr>Site!site_year</vt:lpstr>
      <vt:lpstr>General!use_existing_obs</vt:lpstr>
      <vt:lpstr>Analyzers!weights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Clark Kirkman</dc:creator>
  <cp:lastModifiedBy>Clark Kirkman, IV</cp:lastModifiedBy>
  <dcterms:created xsi:type="dcterms:W3CDTF">2018-02-08T20:55:40Z</dcterms:created>
  <dcterms:modified xsi:type="dcterms:W3CDTF">2025-02-25T21:57:48Z</dcterms:modified>
</cp:coreProperties>
</file>