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rkki\code\emodpy-hiv-ecosystem\emodpy_workflow\examples\zambia\calibration\ingest_forms\"/>
    </mc:Choice>
  </mc:AlternateContent>
  <xr:revisionPtr revIDLastSave="0" documentId="13_ncr:1_{04C855EF-9195-450C-8AAD-9B55B481E9B6}" xr6:coauthVersionLast="47" xr6:coauthVersionMax="47" xr10:uidLastSave="{00000000-0000-0000-0000-000000000000}"/>
  <bookViews>
    <workbookView xWindow="-120" yWindow="-120" windowWidth="38640" windowHeight="21240" firstSheet="2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opulation" sheetId="18" r:id="rId8"/>
    <sheet name="Obs-Prevalence" sheetId="16" r:id="rId9"/>
    <sheet name="Obs-OnART" sheetId="17" r:id="rId10"/>
    <sheet name="Obs-Incidence" sheetId="19" r:id="rId11"/>
    <sheet name="Obs-ARTCoverage" sheetId="21" r:id="rId12"/>
  </sheets>
  <functionGroups builtInGroupCount="19"/>
  <definedNames>
    <definedName name="_xlnm._FilterDatabase" localSheetId="2" hidden="1">'Model Parameters'!$A$1:$G$54</definedName>
    <definedName name="additional_columns" localSheetId="11">'Obs-ARTCoverage'!$A$6:$L$6</definedName>
    <definedName name="additional_columns" localSheetId="10">'Obs-Incidence'!$A$6:$L$6</definedName>
    <definedName name="additional_columns" localSheetId="9">'Obs-OnART'!$A$6:$L$6</definedName>
    <definedName name="additional_columns" localSheetId="7">'Obs-Population'!$A$6:$L$6</definedName>
    <definedName name="additional_columns" localSheetId="8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1">'Obs-ARTCoverage'!$B$1</definedName>
    <definedName name="channel_name" localSheetId="10">'Obs-Incidence'!$B$1</definedName>
    <definedName name="channel_name" localSheetId="9">'Obs-OnART'!$B$1</definedName>
    <definedName name="channel_name" localSheetId="7">'Obs-Population'!$B$1</definedName>
    <definedName name="channel_name" localSheetId="8">'Obs-Prevalence'!$B$1</definedName>
    <definedName name="channel_pop_scaling" localSheetId="4">'Observations metadata'!$A$10:$L$10</definedName>
    <definedName name="channels" localSheetId="5">Analyzers!$A$7:$A$16</definedName>
    <definedName name="csv" localSheetId="11">'Obs-ARTCoverage'!$A$8:$G$1008</definedName>
    <definedName name="csv" localSheetId="10">'Obs-Incidence'!$A$8:$G$1008</definedName>
    <definedName name="csv" localSheetId="9">'Obs-OnART'!$A$8:$G$1008</definedName>
    <definedName name="csv" localSheetId="7">'Obs-Population'!$A$8:$G$1008</definedName>
    <definedName name="csv" localSheetId="8">'Obs-Prevalence'!$A$8:$G$1008</definedName>
    <definedName name="custom_age_bins" localSheetId="5">Analyzers!$F$7:$F$16</definedName>
    <definedName name="data_channels" localSheetId="11">'Obs-ARTCoverage'!$E$8</definedName>
    <definedName name="data_channels" localSheetId="10">'Obs-Incidence'!$E$8</definedName>
    <definedName name="data_channels" localSheetId="9">'Obs-OnART'!$E$8</definedName>
    <definedName name="data_channels" localSheetId="7">'Obs-Population'!$E$8</definedName>
    <definedName name="data_channels" localSheetId="8">'Obs-Prevalence'!$E$8</definedName>
    <definedName name="diseases">Options!$C$2:$C$5</definedName>
    <definedName name="distributions" localSheetId="5">Analyzers!$B$7:$B$16</definedName>
    <definedName name="dynamic" localSheetId="2">'Model Parameters'!$B$2:$B$53</definedName>
    <definedName name="form_version" localSheetId="0">General!$G$1</definedName>
    <definedName name="gender_selection">Options!$D$2:$D$5</definedName>
    <definedName name="initial_value" localSheetId="2">'Model Parameters'!$C$2:$C$53</definedName>
    <definedName name="map_to" localSheetId="2">'Model Parameters'!$F$2:$F$53</definedName>
    <definedName name="max" localSheetId="2">'Model Parameters'!$E$2:$E$53</definedName>
    <definedName name="min" localSheetId="2">'Model Parameters'!$D$2:$D$53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Parameters'!$A$2:$A$53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1">'Obs-ARTCoverage'!$A$4:$L$4</definedName>
    <definedName name="stratifiers" localSheetId="10">'Obs-Incidence'!$A$4:$L$4</definedName>
    <definedName name="stratifiers" localSheetId="9">'Obs-OnART'!$A$4:$L$4</definedName>
    <definedName name="stratifiers" localSheetId="7">'Obs-Population'!$A$4:$L$4</definedName>
    <definedName name="stratifiers" localSheetId="8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9" i="1" l="1"/>
  <c r="K49" i="1"/>
  <c r="L44" i="1"/>
  <c r="K44" i="1"/>
  <c r="L39" i="1"/>
  <c r="K39" i="1"/>
  <c r="L34" i="1"/>
  <c r="K34" i="1"/>
  <c r="L29" i="1"/>
  <c r="K29" i="1"/>
  <c r="L24" i="1"/>
  <c r="K24" i="1"/>
  <c r="L19" i="1"/>
  <c r="K19" i="1"/>
  <c r="L14" i="1"/>
  <c r="K14" i="1"/>
  <c r="L9" i="1"/>
  <c r="K9" i="1"/>
  <c r="L4" i="1"/>
  <c r="K4" i="1"/>
  <c r="K3" i="1"/>
  <c r="L3" i="1"/>
  <c r="K5" i="1"/>
  <c r="L5" i="1"/>
  <c r="K6" i="1"/>
  <c r="L6" i="1"/>
  <c r="K7" i="1"/>
  <c r="L7" i="1"/>
  <c r="K8" i="1"/>
  <c r="L8" i="1"/>
  <c r="K10" i="1"/>
  <c r="L10" i="1"/>
  <c r="K11" i="1"/>
  <c r="L11" i="1"/>
  <c r="K12" i="1"/>
  <c r="L12" i="1"/>
  <c r="K13" i="1"/>
  <c r="L13" i="1"/>
  <c r="K15" i="1"/>
  <c r="L15" i="1"/>
  <c r="K16" i="1"/>
  <c r="L16" i="1"/>
  <c r="K17" i="1"/>
  <c r="L17" i="1"/>
  <c r="K18" i="1"/>
  <c r="L18" i="1"/>
  <c r="K20" i="1"/>
  <c r="L20" i="1"/>
  <c r="K21" i="1"/>
  <c r="L21" i="1"/>
  <c r="K22" i="1"/>
  <c r="L22" i="1"/>
  <c r="K23" i="1"/>
  <c r="L23" i="1"/>
  <c r="K25" i="1"/>
  <c r="L25" i="1"/>
  <c r="K26" i="1"/>
  <c r="L26" i="1"/>
  <c r="K27" i="1"/>
  <c r="L27" i="1"/>
  <c r="K28" i="1"/>
  <c r="L28" i="1"/>
  <c r="K30" i="1"/>
  <c r="L30" i="1"/>
  <c r="K31" i="1"/>
  <c r="L31" i="1"/>
  <c r="K32" i="1"/>
  <c r="L32" i="1"/>
  <c r="K33" i="1"/>
  <c r="L33" i="1"/>
  <c r="K35" i="1"/>
  <c r="L35" i="1"/>
  <c r="K36" i="1"/>
  <c r="L36" i="1"/>
  <c r="K37" i="1"/>
  <c r="L37" i="1"/>
  <c r="K38" i="1"/>
  <c r="L38" i="1"/>
  <c r="K40" i="1"/>
  <c r="L40" i="1"/>
  <c r="K41" i="1"/>
  <c r="L41" i="1"/>
  <c r="K42" i="1"/>
  <c r="L42" i="1"/>
  <c r="K43" i="1"/>
  <c r="L43" i="1"/>
  <c r="K45" i="1"/>
  <c r="L45" i="1"/>
  <c r="K46" i="1"/>
  <c r="L46" i="1"/>
  <c r="K47" i="1"/>
  <c r="L47" i="1"/>
  <c r="K48" i="1"/>
  <c r="L48" i="1"/>
  <c r="K50" i="1"/>
  <c r="L50" i="1"/>
  <c r="L2" i="1"/>
  <c r="K2" i="1"/>
  <c r="H10" i="21"/>
  <c r="H11" i="21"/>
  <c r="H12" i="21"/>
  <c r="H13" i="21"/>
  <c r="H14" i="21"/>
  <c r="H15" i="21"/>
  <c r="H9" i="21"/>
  <c r="H784" i="18" l="1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9" i="16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<sst xmlns="http://schemas.openxmlformats.org/spreadsheetml/2006/main" count="5914" uniqueCount="210">
  <si>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</si>
  <si>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</si>
  <si>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</si>
  <si>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</si>
  <si>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</si>
  <si>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</si>
  <si>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</si>
  <si>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</si>
  <si>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</si>
  <si>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</si>
  <si>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</si>
  <si>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</si>
  <si>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</si>
  <si>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</si>
  <si>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</si>
  <si>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</si>
  <si>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</si>
  <si>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</si>
  <si>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</si>
  <si>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</si>
  <si>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</si>
  <si>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</si>
  <si>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</si>
  <si>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</si>
  <si>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</si>
  <si>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</si>
  <si>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</si>
  <si>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</si>
  <si>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</si>
  <si>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</si>
  <si>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</si>
  <si>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</si>
  <si>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</si>
  <si>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</si>
  <si>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</si>
  <si>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</si>
  <si>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</si>
  <si>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</si>
  <si>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</si>
  <si>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</si>
  <si>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</si>
  <si>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</si>
  <si>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</si>
  <si>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</si>
  <si>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</si>
  <si>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</si>
  <si>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</si>
  <si>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</si>
  <si>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</si>
  <si>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</si>
  <si>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</si>
  <si>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</si>
  <si>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</si>
  <si>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</si>
  <si>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</si>
  <si>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</si>
  <si>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</si>
  <si>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</si>
  <si>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</si>
  <si>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</si>
  <si>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</si>
  <si>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</si>
  <si>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</si>
  <si>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</si>
  <si>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</si>
  <si>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</si>
  <si>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</si>
  <si>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</si>
  <si>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</si>
  <si>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</si>
  <si>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</si>
  <si>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</si>
  <si>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</si>
  <si>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</si>
  <si>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</si>
  <si>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</si>
  <si>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</si>
  <si>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</si>
  <si>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</si>
  <si>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</si>
  <si>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</si>
  <si>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</si>
  <si>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</si>
  <si>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</si>
  <si>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</si>
  <si>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</si>
  <si>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</si>
  <si>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</si>
  <si>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</si>
  <si>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</si>
  <si>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</si>
  <si>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</si>
  <si>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</si>
  <si>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</si>
  <si>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</si>
  <si>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</si>
  <si>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</si>
  <si>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</si>
  <si>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</si>
  <si>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</si>
  <si>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Zambia</t>
  </si>
  <si>
    <t>[0:100)</t>
  </si>
  <si>
    <t>Central</t>
  </si>
  <si>
    <t>Copperbelt</t>
  </si>
  <si>
    <t>Eastern</t>
  </si>
  <si>
    <t>Luapula</t>
  </si>
  <si>
    <t>Lusaka</t>
  </si>
  <si>
    <t>Muchinga</t>
  </si>
  <si>
    <t>Northwestern</t>
  </si>
  <si>
    <t>Northern</t>
  </si>
  <si>
    <t>Southern</t>
  </si>
  <si>
    <t>Western</t>
  </si>
  <si>
    <t xml:space="preserve"> </t>
  </si>
  <si>
    <t>if you're counting =&gt; scaling</t>
  </si>
  <si>
    <t>Prevalence</t>
  </si>
  <si>
    <t>OnART</t>
  </si>
  <si>
    <t>recommend to sum weights to 1</t>
  </si>
  <si>
    <t>[15:20)</t>
  </si>
  <si>
    <t>[15:50)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</si>
  <si>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</si>
  <si>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</si>
  <si>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</si>
  <si>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</si>
  <si>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</si>
  <si>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</si>
  <si>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</si>
  <si>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</si>
  <si>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</si>
  <si>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</si>
  <si>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</si>
  <si>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[0:5)</t>
  </si>
  <si>
    <t>[5:10)</t>
  </si>
  <si>
    <t>[10:15)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</si>
  <si>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</si>
  <si>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</si>
  <si>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</si>
  <si>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</si>
  <si>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</si>
  <si>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</si>
  <si>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</si>
  <si>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</si>
  <si>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</si>
  <si>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[65:70)</t>
  </si>
  <si>
    <t>[70:75)</t>
  </si>
  <si>
    <t>[75:80)</t>
  </si>
  <si>
    <t>[80:85)</t>
  </si>
  <si>
    <t>[85:90)</t>
  </si>
  <si>
    <t>[90:100)</t>
  </si>
  <si>
    <t>[80:100)</t>
  </si>
  <si>
    <t>[0:15)</t>
  </si>
  <si>
    <t>[15:100)</t>
  </si>
  <si>
    <t>Incidence</t>
  </si>
  <si>
    <t>count</t>
  </si>
  <si>
    <t>scaling</t>
  </si>
  <si>
    <t>rate</t>
  </si>
  <si>
    <t>non-scaling</t>
  </si>
  <si>
    <t>all fractional values are from 0 to 1</t>
  </si>
  <si>
    <t>[15:60)</t>
  </si>
  <si>
    <t>[15:25)</t>
  </si>
  <si>
    <t>[25:35)</t>
  </si>
  <si>
    <t>[35:50)</t>
  </si>
  <si>
    <t>PHIA Data</t>
  </si>
  <si>
    <t>MoH/Spectrum</t>
  </si>
  <si>
    <t>% diff</t>
  </si>
  <si>
    <t>ARTCoverage</t>
  </si>
  <si>
    <t>All</t>
  </si>
  <si>
    <t>condom_usage_max--TRANSITORY-Central</t>
  </si>
  <si>
    <t>condom_usage_max--INFORMAL-Central</t>
  </si>
  <si>
    <t>condom_usage_max--TRANSITORY-Copperbelt</t>
  </si>
  <si>
    <t>condom_usage_max--INFORMAL-Copperbelt</t>
  </si>
  <si>
    <t>condom_usage_max--TRANSITORY-Eastern</t>
  </si>
  <si>
    <t>condom_usage_max--INFORMAL-Eastern</t>
  </si>
  <si>
    <t>condom_usage_max--TRANSITORY-Luapula</t>
  </si>
  <si>
    <t>condom_usage_max--INFORMAL-Luapula</t>
  </si>
  <si>
    <t>condom_usage_max--TRANSITORY-Lusaka</t>
  </si>
  <si>
    <t>condom_usage_max--INFORMAL-Lusaka</t>
  </si>
  <si>
    <t>condom_usage_max--TRANSITORY-Muchinga</t>
  </si>
  <si>
    <t>condom_usage_max--INFORMAL-Muchinga</t>
  </si>
  <si>
    <t>condom_usage_max--TRANSITORY-Northwestern</t>
  </si>
  <si>
    <t>condom_usage_max--INFORMAL-Northwestern</t>
  </si>
  <si>
    <t>condom_usage_max--TRANSITORY-Northern</t>
  </si>
  <si>
    <t>condom_usage_max--INFORMAL-Northern</t>
  </si>
  <si>
    <t>condom_usage_max--TRANSITORY-Southern</t>
  </si>
  <si>
    <t>condom_usage_max--INFORMAL-Southern</t>
  </si>
  <si>
    <t>condom_usage_max--TRANSITORY-Western</t>
  </si>
  <si>
    <t>condom_usage_max--INFORMAL-Western</t>
  </si>
  <si>
    <t>seeding_coverage--Central</t>
  </si>
  <si>
    <t>seeding_coverage--Copperbelt</t>
  </si>
  <si>
    <t>seeding_coverage--Eastern</t>
  </si>
  <si>
    <t>seeding_coverage--Luapula</t>
  </si>
  <si>
    <t>seeding_coverage--Lusaka</t>
  </si>
  <si>
    <t>seeding_coverage--Muchinga</t>
  </si>
  <si>
    <t>seeding_coverage--Northwestern</t>
  </si>
  <si>
    <t>seeding_coverage--Northern</t>
  </si>
  <si>
    <t>seeding_coverage--Southern</t>
  </si>
  <si>
    <t>seeding_coverage--Western</t>
  </si>
  <si>
    <t>seeding_start_year--Western</t>
  </si>
  <si>
    <t>seeding_start_year--Southern</t>
  </si>
  <si>
    <t>seeding_start_year--Northern</t>
  </si>
  <si>
    <t>seeding_start_year--Northwestern</t>
  </si>
  <si>
    <t>seeding_start_year--Muchinga</t>
  </si>
  <si>
    <t>seeding_start_year--Lusaka</t>
  </si>
  <si>
    <t>seeding_start_year--Luapula</t>
  </si>
  <si>
    <t>seeding_start_year--Eastern</t>
  </si>
  <si>
    <t>seeding_start_year--Copperbelt</t>
  </si>
  <si>
    <t>seeding_start_year--Central</t>
  </si>
  <si>
    <t>ORIGINAL VALUES FOR INITIAL ALL-NODE-SCALE CALIBRATION</t>
  </si>
  <si>
    <t>+/-</t>
  </si>
  <si>
    <t>PCT</t>
  </si>
  <si>
    <t>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</si>
</sst>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 (Body)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5" fillId="0" borderId="0" xfId="0" applyFont="1"/>
    <xf numFmtId="1" fontId="0" fillId="12" borderId="7" xfId="0" applyNumberFormat="1" applyFill="1" applyBorder="1" applyProtection="1">
      <protection locked="0"/>
    </xf>
    <xf numFmtId="1" fontId="0" fillId="11" borderId="7" xfId="0" applyNumberFormat="1" applyFill="1" applyBorder="1" applyProtection="1">
      <protection locked="0"/>
    </xf>
    <xf numFmtId="1" fontId="0" fillId="12" borderId="7" xfId="1" applyNumberFormat="1" applyFont="1" applyFill="1" applyBorder="1" applyProtection="1">
      <protection locked="0"/>
    </xf>
    <xf numFmtId="1" fontId="0" fillId="11" borderId="7" xfId="1" applyNumberFormat="1" applyFont="1" applyFill="1" applyBorder="1" applyProtection="1">
      <protection locked="0"/>
    </xf>
    <xf numFmtId="2" fontId="0" fillId="12" borderId="7" xfId="0" applyNumberFormat="1" applyFill="1" applyBorder="1" applyProtection="1">
      <protection locked="0"/>
    </xf>
    <xf numFmtId="2" fontId="0" fillId="11" borderId="7" xfId="0" applyNumberFormat="1" applyFill="1" applyBorder="1" applyProtection="1">
      <protection locked="0"/>
    </xf>
    <xf numFmtId="3" fontId="0" fillId="12" borderId="7" xfId="0" applyNumberFormat="1" applyFill="1" applyBorder="1" applyProtection="1">
      <protection locked="0"/>
    </xf>
    <xf numFmtId="3" fontId="0" fillId="11" borderId="7" xfId="0" applyNumberFormat="1" applyFill="1" applyBorder="1" applyProtection="1">
      <protection locked="0"/>
    </xf>
    <xf numFmtId="0" fontId="6" fillId="13" borderId="7" xfId="0" applyFont="1" applyFill="1" applyBorder="1" applyProtection="1">
      <protection locked="0"/>
    </xf>
    <xf numFmtId="0" fontId="6" fillId="13" borderId="8" xfId="0" applyFont="1" applyFill="1" applyBorder="1" applyProtection="1">
      <protection locked="0"/>
    </xf>
    <xf numFmtId="0" fontId="6" fillId="14" borderId="9" xfId="0" applyFont="1" applyFill="1" applyBorder="1" applyProtection="1">
      <protection locked="0"/>
    </xf>
    <xf numFmtId="0" fontId="6" fillId="14" borderId="10" xfId="0" applyFont="1" applyFill="1" applyBorder="1" applyProtection="1">
      <protection locked="0"/>
    </xf>
    <xf numFmtId="0" fontId="6" fillId="13" borderId="9" xfId="0" applyFont="1" applyFill="1" applyBorder="1" applyProtection="1">
      <protection locked="0"/>
    </xf>
    <xf numFmtId="0" fontId="6" fillId="13" borderId="10" xfId="0" applyFont="1" applyFill="1" applyBorder="1" applyProtection="1">
      <protection locked="0"/>
    </xf>
    <xf numFmtId="0" fontId="0" fillId="4" borderId="11" xfId="0" applyFill="1" applyBorder="1"/>
  </cellXfs>
  <cellStyles count="2">
    <cellStyle name="Comma" xfId="1" builtinId="3"/>
    <cellStyle name="Normal" xfId="0" builtinId="0"/>
  </cellStyles>
  <dxfs count="4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9457" name="Entry grid creation 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7409" name="Entry grid creation butto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8433" name="Entry grid creation button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8673" name="Entry grid creation butto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1" name="Entry grid creation button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/>
  <cols>
    <col min="1" max="1" width="24.28515625" bestFit="1" customWidth="1"/>
    <col min="2" max="2" width="19.28515625" customWidth="1"/>
    <col min="4" max="4" width="22.7109375" bestFit="1" customWidth="1"/>
  </cols>
  <sheetData>
    <row r="1" spans="1:8">
      <c r="A1" s="18" t="s">
        <v>6</v>
      </c>
      <c r="B1" s="19"/>
      <c r="E1" s="8" t="s">
        <v>64</v>
      </c>
      <c r="F1" s="8"/>
      <c r="G1" s="8">
        <v>0.3</v>
      </c>
    </row>
    <row r="2" spans="1:8">
      <c r="A2" s="20" t="s">
        <v>8</v>
      </c>
      <c r="B2" s="19" t="s">
        <v>12</v>
      </c>
      <c r="C2" s="12" t="s">
        <v>10</v>
      </c>
    </row>
    <row r="3" spans="1:8">
      <c r="A3" s="20" t="s">
        <v>7</v>
      </c>
      <c r="B3" s="19" t="s">
        <v>12</v>
      </c>
    </row>
    <row r="4" spans="1:8">
      <c r="A4" s="20" t="s">
        <v>9</v>
      </c>
      <c r="B4" s="19"/>
      <c r="C4" s="11" t="s">
        <v>40</v>
      </c>
    </row>
    <row r="5" spans="1:8">
      <c r="A5" s="20" t="s">
        <v>25</v>
      </c>
      <c r="B5" s="19"/>
      <c r="C5" s="1" t="s">
        <v>27</v>
      </c>
    </row>
    <row r="6" spans="1:8">
      <c r="A6" s="20" t="s">
        <v>26</v>
      </c>
      <c r="B6" s="19"/>
      <c r="C6" s="1" t="s">
        <v>27</v>
      </c>
    </row>
    <row r="8" spans="1:8">
      <c r="A8" s="3" t="s">
        <v>47</v>
      </c>
      <c r="B8" s="6" t="b">
        <v>0</v>
      </c>
      <c r="D8" s="19" t="s">
        <v>53</v>
      </c>
      <c r="E8" s="20"/>
      <c r="F8" s="11" t="s">
        <v>57</v>
      </c>
      <c r="H8" s="11"/>
    </row>
    <row r="10" spans="1:8">
      <c r="A10" s="13" t="s">
        <v>39</v>
      </c>
    </row>
    <row r="11" spans="1:8">
      <c r="A11" s="2" t="s">
        <v>35</v>
      </c>
      <c r="B11" s="2">
        <f>COUNTIF('Model Parameters'!B2:B53, FALSE)</f>
        <v>0</v>
      </c>
      <c r="C11" s="12" t="s">
        <v>37</v>
      </c>
    </row>
    <row r="12" spans="1:8">
      <c r="A12" s="2" t="s">
        <v>36</v>
      </c>
      <c r="B12" s="2">
        <f>COUNTIF('Model Parameters'!B2:B53, TRUE)</f>
        <v>40</v>
      </c>
    </row>
    <row r="13" spans="1:8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45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/>
  </sheetViews>
  <sheetFormatPr defaultColWidth="8.85546875" defaultRowHeight="15"/>
  <cols>
    <col min="1" max="1" width="12.28515625" bestFit="1" customWidth="1"/>
    <col min="2" max="2" width="16.28515625" customWidth="1"/>
    <col min="3" max="3" width="11" customWidth="1"/>
    <col min="8" max="8" width="11.7109375" bestFit="1" customWidth="1"/>
  </cols>
  <sheetData>
    <row r="1" spans="1:13">
      <c r="A1" s="11" t="s">
        <v>90</v>
      </c>
    </row>
    <row r="2" spans="1:13">
      <c r="A2" s="11" t="s">
        <v>92</v>
      </c>
    </row>
    <row r="3" spans="1:13">
      <c r="A3" s="11" t="s">
        <v>94</v>
      </c>
    </row>
    <row r="4" spans="1:13">
      <c r="A4" s="11" t="s">
        <v>91</v>
      </c>
    </row>
    <row r="5" spans="1:13">
      <c r="A5" s="11" t="s">
        <v>99</v>
      </c>
    </row>
    <row r="6" spans="1:13">
      <c r="A6" s="11"/>
    </row>
    <row r="7" spans="1:13">
      <c r="A7" s="10" t="s">
        <v>93</v>
      </c>
      <c r="B7" s="4" t="s">
        <v>100</v>
      </c>
    </row>
    <row r="8" spans="1:13">
      <c r="A8" s="8" t="s">
        <v>85</v>
      </c>
      <c r="B8" s="5">
        <v>15473905</v>
      </c>
    </row>
    <row r="9" spans="1:13">
      <c r="A9" s="8" t="s">
        <v>86</v>
      </c>
      <c r="B9" s="6">
        <v>2015</v>
      </c>
      <c r="E9" t="s">
        <v>112</v>
      </c>
    </row>
    <row r="10" spans="1:13">
      <c r="A10" s="8" t="s">
        <v>87</v>
      </c>
      <c r="B10" s="5" t="s">
        <v>101</v>
      </c>
    </row>
    <row r="11" spans="1:13">
      <c r="A11" s="8" t="s">
        <v>88</v>
      </c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>
        <v>7</v>
      </c>
      <c r="I11" s="6">
        <v>8</v>
      </c>
      <c r="J11" s="6">
        <v>9</v>
      </c>
      <c r="K11" s="6">
        <v>10</v>
      </c>
      <c r="L11" s="6"/>
      <c r="M11" s="6"/>
    </row>
    <row r="12" spans="1:13">
      <c r="A12" s="8" t="s">
        <v>89</v>
      </c>
      <c r="B12" s="3" t="s">
        <v>102</v>
      </c>
      <c r="C12" s="3" t="s">
        <v>103</v>
      </c>
      <c r="D12" s="3" t="s">
        <v>104</v>
      </c>
      <c r="E12" s="3" t="s">
        <v>105</v>
      </c>
      <c r="F12" s="3" t="s">
        <v>106</v>
      </c>
      <c r="G12" s="3" t="s">
        <v>107</v>
      </c>
      <c r="H12" s="3" t="s">
        <v>108</v>
      </c>
      <c r="I12" s="3" t="s">
        <v>109</v>
      </c>
      <c r="J12" s="3" t="s">
        <v>110</v>
      </c>
      <c r="K12" s="3" t="s">
        <v>111</v>
      </c>
      <c r="L12" s="3"/>
      <c r="M1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5"/>
  <sheetViews>
    <sheetView workbookViewId="0">
      <selection activeCell="D5" sqref="D5"/>
    </sheetView>
  </sheetViews>
  <sheetFormatPr defaultColWidth="8.85546875" defaultRowHeight="15"/>
  <cols>
    <col min="1" max="1" width="49.140625" bestFit="1" customWidth="1"/>
    <col min="3" max="3" width="10.85546875" bestFit="1" customWidth="1"/>
    <col min="6" max="6" width="61.140625" customWidth="1"/>
    <col min="7" max="7" width="43.7109375" bestFit="1" customWidth="1"/>
  </cols>
  <sheetData>
    <row r="1" spans="1:1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  <c r="G1" s="57" t="s">
        <v>206</v>
      </c>
      <c r="K1" s="1" t="s">
        <v>207</v>
      </c>
      <c r="L1">
        <v>0.05</v>
      </c>
      <c r="M1" t="s">
        <v>208</v>
      </c>
      <c r="N1">
        <v>1</v>
      </c>
      <c r="O1" t="s">
        <v>209</v>
      </c>
    </row>
    <row r="2" spans="1:15">
      <c r="A2" s="3" t="s">
        <v>167</v>
      </c>
      <c r="B2" s="4" t="b">
        <v>1</v>
      </c>
      <c r="C2">
        <v>0.202650218433687</v>
      </c>
      <c r="D2" s="4">
        <v>0.19251770751200264</v>
      </c>
      <c r="E2" s="3">
        <v>0.21278272935537135</v>
      </c>
      <c r="F2" s="4"/>
      <c r="G2" s="3">
        <v>0</v>
      </c>
      <c r="H2" s="4">
        <v>0</v>
      </c>
      <c r="I2" s="3">
        <v>0.4</v>
      </c>
      <c r="K2">
        <f>$C2*(1-$L$1)</f>
        <v>0.19251770751200264</v>
      </c>
      <c r="L2">
        <f>$C2*(1+$L$1)</f>
        <v>0.21278272935537135</v>
      </c>
    </row>
    <row r="3" spans="1:15">
      <c r="A3" s="3" t="s">
        <v>166</v>
      </c>
      <c r="B3" s="4" t="b">
        <v>1</v>
      </c>
      <c r="C3">
        <v>0.81468205656002601</v>
      </c>
      <c r="D3" s="4">
        <v>0.77394795373202463</v>
      </c>
      <c r="E3" s="3">
        <v>0.8554161593880274</v>
      </c>
      <c r="F3" s="4"/>
      <c r="G3" s="3">
        <v>0.768125525501553</v>
      </c>
      <c r="H3" s="4">
        <v>0.56810000000000005</v>
      </c>
      <c r="I3" s="3">
        <v>0.96809999999999996</v>
      </c>
      <c r="K3">
        <f t="shared" ref="K3:K50" si="0">$C3*(1-$L$1)</f>
        <v>0.77394795373202463</v>
      </c>
      <c r="L3">
        <f t="shared" ref="L3:L50" si="1">$C3*(1+$L$1)</f>
        <v>0.8554161593880274</v>
      </c>
    </row>
    <row r="4" spans="1:15">
      <c r="A4" s="3" t="s">
        <v>205</v>
      </c>
      <c r="B4" s="4" t="b">
        <v>1</v>
      </c>
      <c r="C4">
        <v>1978</v>
      </c>
      <c r="D4" s="4">
        <v>1977</v>
      </c>
      <c r="E4" s="3">
        <v>1979</v>
      </c>
      <c r="F4" s="4"/>
      <c r="G4" s="3">
        <v>1975.0738289999999</v>
      </c>
      <c r="H4" s="4">
        <v>1972</v>
      </c>
      <c r="I4" s="3">
        <v>1978</v>
      </c>
      <c r="K4">
        <f>$C4-$N$1</f>
        <v>1977</v>
      </c>
      <c r="L4">
        <f>$C4+$N$1</f>
        <v>1979</v>
      </c>
    </row>
    <row r="5" spans="1:15">
      <c r="A5" s="3" t="s">
        <v>186</v>
      </c>
      <c r="B5" s="4" t="b">
        <v>1</v>
      </c>
      <c r="C5">
        <v>0.01</v>
      </c>
      <c r="D5" s="4">
        <v>9.4999999999999998E-3</v>
      </c>
      <c r="E5" s="3">
        <v>1.0500000000000001E-2</v>
      </c>
      <c r="F5" s="4"/>
      <c r="G5" s="3">
        <v>3.2635773E-2</v>
      </c>
      <c r="H5" s="4">
        <v>0.01</v>
      </c>
      <c r="I5" s="3">
        <v>0.25</v>
      </c>
      <c r="K5">
        <f t="shared" si="0"/>
        <v>9.4999999999999998E-3</v>
      </c>
      <c r="L5">
        <f t="shared" si="1"/>
        <v>1.0500000000000001E-2</v>
      </c>
    </row>
    <row r="6" spans="1:15">
      <c r="A6" s="3"/>
      <c r="B6" s="4"/>
      <c r="C6" s="3"/>
      <c r="D6" s="4"/>
      <c r="E6" s="3"/>
      <c r="F6" s="4"/>
      <c r="G6" s="3"/>
      <c r="H6" s="4"/>
      <c r="I6" s="3"/>
      <c r="K6">
        <f t="shared" si="0"/>
        <v>0</v>
      </c>
      <c r="L6">
        <f t="shared" si="1"/>
        <v>0</v>
      </c>
    </row>
    <row r="7" spans="1:15">
      <c r="A7" s="3" t="s">
        <v>169</v>
      </c>
      <c r="B7" s="4" t="b">
        <v>1</v>
      </c>
      <c r="C7">
        <v>0.4</v>
      </c>
      <c r="D7" s="4">
        <v>0.38</v>
      </c>
      <c r="E7" s="3">
        <v>0.42000000000000004</v>
      </c>
      <c r="F7" s="4"/>
      <c r="G7" s="3">
        <v>0</v>
      </c>
      <c r="H7" s="4">
        <v>0</v>
      </c>
      <c r="I7" s="3">
        <v>0.4</v>
      </c>
      <c r="K7">
        <f t="shared" si="0"/>
        <v>0.38</v>
      </c>
      <c r="L7">
        <f t="shared" si="1"/>
        <v>0.42000000000000004</v>
      </c>
    </row>
    <row r="8" spans="1:15">
      <c r="A8" s="3" t="s">
        <v>168</v>
      </c>
      <c r="B8" s="4" t="b">
        <v>1</v>
      </c>
      <c r="C8">
        <v>0.4</v>
      </c>
      <c r="D8" s="4">
        <v>0.38</v>
      </c>
      <c r="E8" s="3">
        <v>0.42000000000000004</v>
      </c>
      <c r="F8" s="4"/>
      <c r="G8" s="3">
        <v>4.6531860082868297E-2</v>
      </c>
      <c r="H8" s="4">
        <v>0</v>
      </c>
      <c r="I8" s="3">
        <v>0.4</v>
      </c>
      <c r="K8">
        <f t="shared" si="0"/>
        <v>0.38</v>
      </c>
      <c r="L8">
        <f t="shared" si="1"/>
        <v>0.42000000000000004</v>
      </c>
    </row>
    <row r="9" spans="1:15">
      <c r="A9" s="3" t="s">
        <v>204</v>
      </c>
      <c r="B9" s="4" t="b">
        <v>1</v>
      </c>
      <c r="C9">
        <v>1981</v>
      </c>
      <c r="D9" s="4">
        <v>1980</v>
      </c>
      <c r="E9" s="3">
        <v>1982</v>
      </c>
      <c r="F9" s="4"/>
      <c r="G9" s="3">
        <v>1978.4972270000001</v>
      </c>
      <c r="H9" s="4">
        <v>1975</v>
      </c>
      <c r="I9" s="3">
        <v>1981</v>
      </c>
      <c r="K9">
        <f>$C9-$N$1</f>
        <v>1980</v>
      </c>
      <c r="L9">
        <f>$C9+$N$1</f>
        <v>1982</v>
      </c>
    </row>
    <row r="10" spans="1:15">
      <c r="A10" s="3" t="s">
        <v>187</v>
      </c>
      <c r="B10" s="4" t="b">
        <v>1</v>
      </c>
      <c r="C10">
        <v>2.89812881793713E-2</v>
      </c>
      <c r="D10" s="4">
        <v>2.7532223770402733E-2</v>
      </c>
      <c r="E10" s="3">
        <v>3.0430352588339867E-2</v>
      </c>
      <c r="F10" s="4"/>
      <c r="G10" s="3">
        <v>4.0844909999999998E-2</v>
      </c>
      <c r="H10" s="4">
        <v>0.01</v>
      </c>
      <c r="I10" s="3">
        <v>0.25</v>
      </c>
      <c r="K10">
        <f t="shared" si="0"/>
        <v>2.7532223770402733E-2</v>
      </c>
      <c r="L10">
        <f t="shared" si="1"/>
        <v>3.0430352588339867E-2</v>
      </c>
    </row>
    <row r="11" spans="1:15">
      <c r="A11" s="3"/>
      <c r="B11" s="4"/>
      <c r="C11" s="3"/>
      <c r="D11" s="4"/>
      <c r="E11" s="3"/>
      <c r="F11" s="4"/>
      <c r="G11" s="3"/>
      <c r="H11" s="4"/>
      <c r="I11" s="3"/>
      <c r="K11">
        <f t="shared" si="0"/>
        <v>0</v>
      </c>
      <c r="L11">
        <f t="shared" si="1"/>
        <v>0</v>
      </c>
    </row>
    <row r="12" spans="1:15">
      <c r="A12" s="3" t="s">
        <v>171</v>
      </c>
      <c r="B12" s="4" t="b">
        <v>1</v>
      </c>
      <c r="C12">
        <v>1</v>
      </c>
      <c r="D12" s="4">
        <v>0.95</v>
      </c>
      <c r="E12" s="3">
        <v>1</v>
      </c>
      <c r="F12" s="4"/>
      <c r="G12" s="3">
        <v>1</v>
      </c>
      <c r="H12" s="4">
        <v>0.6</v>
      </c>
      <c r="I12" s="3">
        <v>1</v>
      </c>
      <c r="K12">
        <f t="shared" si="0"/>
        <v>0.95</v>
      </c>
      <c r="L12">
        <f t="shared" si="1"/>
        <v>1.05</v>
      </c>
    </row>
    <row r="13" spans="1:15">
      <c r="A13" s="3" t="s">
        <v>170</v>
      </c>
      <c r="B13" s="4" t="b">
        <v>1</v>
      </c>
      <c r="C13">
        <v>1</v>
      </c>
      <c r="D13" s="4">
        <v>0.95</v>
      </c>
      <c r="E13" s="3">
        <v>1</v>
      </c>
      <c r="F13" s="4"/>
      <c r="G13" s="3">
        <v>1</v>
      </c>
      <c r="H13" s="4">
        <v>0.6</v>
      </c>
      <c r="I13" s="3">
        <v>1</v>
      </c>
      <c r="K13">
        <f t="shared" si="0"/>
        <v>0.95</v>
      </c>
      <c r="L13">
        <f t="shared" si="1"/>
        <v>1.05</v>
      </c>
    </row>
    <row r="14" spans="1:15">
      <c r="A14" s="3" t="s">
        <v>203</v>
      </c>
      <c r="B14" s="4" t="b">
        <v>1</v>
      </c>
      <c r="C14">
        <v>1987.76921042049</v>
      </c>
      <c r="D14" s="4">
        <v>1986.76921042049</v>
      </c>
      <c r="E14" s="3">
        <v>1988.76921042049</v>
      </c>
      <c r="F14" s="4"/>
      <c r="G14" s="3">
        <v>1985.330191</v>
      </c>
      <c r="H14" s="4">
        <v>1982</v>
      </c>
      <c r="I14" s="3">
        <v>1988</v>
      </c>
      <c r="K14">
        <f>$C14-$N$1</f>
        <v>1986.76921042049</v>
      </c>
      <c r="L14">
        <f>$C14+$N$1</f>
        <v>1988.76921042049</v>
      </c>
    </row>
    <row r="15" spans="1:15">
      <c r="A15" s="3" t="s">
        <v>188</v>
      </c>
      <c r="B15" s="4" t="b">
        <v>1</v>
      </c>
      <c r="C15">
        <v>0.112845317512987</v>
      </c>
      <c r="D15" s="4">
        <v>0.10720305163733765</v>
      </c>
      <c r="E15" s="3">
        <v>0.11848758338863635</v>
      </c>
      <c r="F15" s="4"/>
      <c r="G15" s="3">
        <v>0.214647592</v>
      </c>
      <c r="H15" s="4">
        <v>0.11</v>
      </c>
      <c r="I15" s="3">
        <v>0.35</v>
      </c>
      <c r="K15">
        <f t="shared" si="0"/>
        <v>0.10720305163733765</v>
      </c>
      <c r="L15">
        <f t="shared" si="1"/>
        <v>0.11848758338863635</v>
      </c>
    </row>
    <row r="16" spans="1:15">
      <c r="A16" s="3"/>
      <c r="B16" s="4"/>
      <c r="C16" s="17"/>
      <c r="D16" s="16"/>
      <c r="E16" s="3"/>
      <c r="F16" s="4"/>
      <c r="G16" s="17"/>
      <c r="H16" s="16"/>
      <c r="I16" s="3"/>
      <c r="K16">
        <f t="shared" si="0"/>
        <v>0</v>
      </c>
      <c r="L16">
        <f t="shared" si="1"/>
        <v>0</v>
      </c>
    </row>
    <row r="17" spans="1:12">
      <c r="A17" s="3" t="s">
        <v>173</v>
      </c>
      <c r="B17" s="4" t="b">
        <v>1</v>
      </c>
      <c r="C17">
        <v>0.77161557341296205</v>
      </c>
      <c r="D17" s="4">
        <v>0.73303479474231392</v>
      </c>
      <c r="E17" s="3">
        <v>0.81019635208361018</v>
      </c>
      <c r="F17" s="4"/>
      <c r="G17" s="3">
        <v>0.91446297918488695</v>
      </c>
      <c r="H17" s="4">
        <v>0.6</v>
      </c>
      <c r="I17" s="3">
        <v>1</v>
      </c>
      <c r="K17">
        <f t="shared" si="0"/>
        <v>0.73303479474231392</v>
      </c>
      <c r="L17">
        <f t="shared" si="1"/>
        <v>0.81019635208361018</v>
      </c>
    </row>
    <row r="18" spans="1:12">
      <c r="A18" s="3" t="s">
        <v>172</v>
      </c>
      <c r="B18" s="4" t="b">
        <v>1</v>
      </c>
      <c r="C18">
        <v>0.9294</v>
      </c>
      <c r="D18" s="4">
        <v>0.88292999999999999</v>
      </c>
      <c r="E18" s="3">
        <v>0.97587000000000002</v>
      </c>
      <c r="F18" s="4"/>
      <c r="G18" s="3">
        <v>0.72938569941324904</v>
      </c>
      <c r="H18" s="4">
        <v>0.52939999999999998</v>
      </c>
      <c r="I18" s="3">
        <v>0.9294</v>
      </c>
      <c r="K18">
        <f t="shared" si="0"/>
        <v>0.88292999999999999</v>
      </c>
      <c r="L18">
        <f t="shared" si="1"/>
        <v>0.97587000000000002</v>
      </c>
    </row>
    <row r="19" spans="1:12">
      <c r="A19" s="3" t="s">
        <v>202</v>
      </c>
      <c r="B19" s="4" t="b">
        <v>1</v>
      </c>
      <c r="C19">
        <v>1970</v>
      </c>
      <c r="D19" s="4">
        <v>1969</v>
      </c>
      <c r="E19" s="3">
        <v>1971</v>
      </c>
      <c r="F19" s="4"/>
      <c r="G19" s="3">
        <v>1970</v>
      </c>
      <c r="H19" s="4">
        <v>1970</v>
      </c>
      <c r="I19" s="3">
        <v>1976</v>
      </c>
      <c r="K19">
        <f>$C19-$N$1</f>
        <v>1969</v>
      </c>
      <c r="L19">
        <f>$C19+$N$1</f>
        <v>1971</v>
      </c>
    </row>
    <row r="20" spans="1:12">
      <c r="A20" s="3" t="s">
        <v>189</v>
      </c>
      <c r="B20" s="4" t="b">
        <v>1</v>
      </c>
      <c r="C20">
        <v>2.2513460917713401E-2</v>
      </c>
      <c r="D20" s="4">
        <v>2.138778787182773E-2</v>
      </c>
      <c r="E20" s="3">
        <v>2.3639133963599072E-2</v>
      </c>
      <c r="F20" s="4"/>
      <c r="G20" s="3">
        <v>0.104800623</v>
      </c>
      <c r="H20" s="4">
        <v>0.01</v>
      </c>
      <c r="I20" s="3">
        <v>0.25</v>
      </c>
      <c r="K20">
        <f t="shared" si="0"/>
        <v>2.138778787182773E-2</v>
      </c>
      <c r="L20">
        <f t="shared" si="1"/>
        <v>2.3639133963599072E-2</v>
      </c>
    </row>
    <row r="21" spans="1:12">
      <c r="A21" s="3"/>
      <c r="B21" s="4"/>
      <c r="C21" s="3"/>
      <c r="D21" s="4"/>
      <c r="E21" s="3"/>
      <c r="F21" s="4"/>
      <c r="G21" s="3"/>
      <c r="H21" s="4"/>
      <c r="I21" s="3"/>
      <c r="K21">
        <f t="shared" si="0"/>
        <v>0</v>
      </c>
      <c r="L21">
        <f t="shared" si="1"/>
        <v>0</v>
      </c>
    </row>
    <row r="22" spans="1:12">
      <c r="A22" s="3" t="s">
        <v>175</v>
      </c>
      <c r="B22" s="4" t="b">
        <v>1</v>
      </c>
      <c r="C22">
        <v>0.28463400780403098</v>
      </c>
      <c r="D22" s="4">
        <v>0.27040230741382942</v>
      </c>
      <c r="E22" s="3">
        <v>0.29886570819423253</v>
      </c>
      <c r="F22" s="4"/>
      <c r="G22" s="3">
        <v>0.142047989631679</v>
      </c>
      <c r="H22" s="4">
        <v>0</v>
      </c>
      <c r="I22" s="3">
        <v>0.4</v>
      </c>
      <c r="K22">
        <f t="shared" si="0"/>
        <v>0.27040230741382942</v>
      </c>
      <c r="L22">
        <f t="shared" si="1"/>
        <v>0.29886570819423253</v>
      </c>
    </row>
    <row r="23" spans="1:12">
      <c r="A23" s="3" t="s">
        <v>174</v>
      </c>
      <c r="B23" s="4" t="b">
        <v>1</v>
      </c>
      <c r="C23">
        <v>0.4</v>
      </c>
      <c r="D23" s="4">
        <v>0.38</v>
      </c>
      <c r="E23" s="3">
        <v>0.42000000000000004</v>
      </c>
      <c r="F23" s="4"/>
      <c r="G23" s="3">
        <v>0.14058113184315801</v>
      </c>
      <c r="H23" s="4">
        <v>0</v>
      </c>
      <c r="I23" s="3">
        <v>0.4</v>
      </c>
      <c r="K23">
        <f t="shared" si="0"/>
        <v>0.38</v>
      </c>
      <c r="L23">
        <f t="shared" si="1"/>
        <v>0.42000000000000004</v>
      </c>
    </row>
    <row r="24" spans="1:12">
      <c r="A24" s="3" t="s">
        <v>201</v>
      </c>
      <c r="B24" s="4" t="b">
        <v>1</v>
      </c>
      <c r="C24">
        <v>1970</v>
      </c>
      <c r="D24" s="4">
        <v>1969</v>
      </c>
      <c r="E24" s="3">
        <v>1971</v>
      </c>
      <c r="F24" s="4"/>
      <c r="G24" s="3">
        <v>1970</v>
      </c>
      <c r="H24" s="4">
        <v>1970</v>
      </c>
      <c r="I24" s="3">
        <v>1976</v>
      </c>
      <c r="K24">
        <f>$C24-$N$1</f>
        <v>1969</v>
      </c>
      <c r="L24">
        <f>$C24+$N$1</f>
        <v>1971</v>
      </c>
    </row>
    <row r="25" spans="1:12">
      <c r="A25" s="3" t="s">
        <v>190</v>
      </c>
      <c r="B25" s="4" t="b">
        <v>1</v>
      </c>
      <c r="C25">
        <v>0.35</v>
      </c>
      <c r="D25" s="4">
        <v>0.33249999999999996</v>
      </c>
      <c r="E25" s="3">
        <v>0.36749999999999999</v>
      </c>
      <c r="F25" s="4"/>
      <c r="G25" s="3">
        <v>0.24472244000000001</v>
      </c>
      <c r="H25" s="4">
        <v>0.11</v>
      </c>
      <c r="I25" s="3">
        <v>0.35</v>
      </c>
      <c r="K25">
        <f t="shared" si="0"/>
        <v>0.33249999999999996</v>
      </c>
      <c r="L25">
        <f t="shared" si="1"/>
        <v>0.36749999999999999</v>
      </c>
    </row>
    <row r="26" spans="1:12">
      <c r="A26" s="3"/>
      <c r="B26" s="4"/>
      <c r="C26" s="3"/>
      <c r="D26" s="4"/>
      <c r="E26" s="3"/>
      <c r="F26" s="4"/>
      <c r="G26" s="3"/>
      <c r="H26" s="4"/>
      <c r="I26" s="3"/>
      <c r="K26">
        <f t="shared" si="0"/>
        <v>0</v>
      </c>
      <c r="L26">
        <f t="shared" si="1"/>
        <v>0</v>
      </c>
    </row>
    <row r="27" spans="1:12">
      <c r="A27" s="3" t="s">
        <v>177</v>
      </c>
      <c r="B27" s="4" t="b">
        <v>1</v>
      </c>
      <c r="C27">
        <v>0.89193271761446102</v>
      </c>
      <c r="D27" s="4">
        <v>0.84733608173373798</v>
      </c>
      <c r="E27" s="3">
        <v>0.93652935349518407</v>
      </c>
      <c r="F27" s="4"/>
      <c r="G27" s="3">
        <v>0.87271488011612397</v>
      </c>
      <c r="H27" s="4">
        <v>0.6</v>
      </c>
      <c r="I27" s="3">
        <v>1</v>
      </c>
      <c r="K27">
        <f t="shared" si="0"/>
        <v>0.84733608173373798</v>
      </c>
      <c r="L27">
        <f t="shared" si="1"/>
        <v>0.93652935349518407</v>
      </c>
    </row>
    <row r="28" spans="1:12">
      <c r="A28" s="3" t="s">
        <v>176</v>
      </c>
      <c r="B28" s="4" t="b">
        <v>1</v>
      </c>
      <c r="C28">
        <v>1</v>
      </c>
      <c r="D28" s="4">
        <v>0.95</v>
      </c>
      <c r="E28" s="3">
        <v>1</v>
      </c>
      <c r="F28" s="4"/>
      <c r="G28" s="3">
        <v>0.99439743554229199</v>
      </c>
      <c r="H28" s="4">
        <v>0.6</v>
      </c>
      <c r="I28" s="3">
        <v>1</v>
      </c>
      <c r="K28">
        <f t="shared" si="0"/>
        <v>0.95</v>
      </c>
      <c r="L28">
        <f t="shared" si="1"/>
        <v>1.05</v>
      </c>
    </row>
    <row r="29" spans="1:12">
      <c r="A29" s="3" t="s">
        <v>200</v>
      </c>
      <c r="B29" s="4" t="b">
        <v>1</v>
      </c>
      <c r="C29">
        <v>1984</v>
      </c>
      <c r="D29" s="4">
        <v>1983</v>
      </c>
      <c r="E29" s="3">
        <v>1985</v>
      </c>
      <c r="F29" s="4"/>
      <c r="G29" s="3">
        <v>1970.1224729999999</v>
      </c>
      <c r="H29" s="4">
        <v>1970</v>
      </c>
      <c r="I29" s="3">
        <v>1976</v>
      </c>
      <c r="K29">
        <f>$C29-$N$1</f>
        <v>1983</v>
      </c>
      <c r="L29">
        <f>$C29+$N$1</f>
        <v>1985</v>
      </c>
    </row>
    <row r="30" spans="1:12">
      <c r="A30" s="3" t="s">
        <v>191</v>
      </c>
      <c r="B30" s="4" t="b">
        <v>1</v>
      </c>
      <c r="C30">
        <v>1.7236444312796199E-2</v>
      </c>
      <c r="D30" s="4">
        <v>1.6374622097156389E-2</v>
      </c>
      <c r="E30" s="3">
        <v>1.8098266528436008E-2</v>
      </c>
      <c r="F30" s="4"/>
      <c r="G30" s="3">
        <v>0.01</v>
      </c>
      <c r="H30" s="4">
        <v>0.01</v>
      </c>
      <c r="I30" s="3">
        <v>0.25</v>
      </c>
      <c r="K30">
        <f t="shared" si="0"/>
        <v>1.6374622097156389E-2</v>
      </c>
      <c r="L30">
        <f t="shared" si="1"/>
        <v>1.8098266528436008E-2</v>
      </c>
    </row>
    <row r="31" spans="1:12">
      <c r="A31" s="3"/>
      <c r="B31" s="4"/>
      <c r="C31" s="3"/>
      <c r="D31" s="4"/>
      <c r="E31" s="3"/>
      <c r="F31" s="4"/>
      <c r="G31" s="3"/>
      <c r="H31" s="4"/>
      <c r="I31" s="3"/>
      <c r="K31">
        <f t="shared" si="0"/>
        <v>0</v>
      </c>
      <c r="L31">
        <f t="shared" si="1"/>
        <v>0</v>
      </c>
    </row>
    <row r="32" spans="1:12">
      <c r="A32" s="3" t="s">
        <v>179</v>
      </c>
      <c r="B32" s="4" t="b">
        <v>1</v>
      </c>
      <c r="C32">
        <v>0.36903948792858399</v>
      </c>
      <c r="D32" s="4">
        <v>0.35058751353215478</v>
      </c>
      <c r="E32" s="3">
        <v>0.38749146232501319</v>
      </c>
      <c r="F32" s="4"/>
      <c r="G32" s="3">
        <v>0.36903948792858399</v>
      </c>
      <c r="H32" s="4">
        <v>0.16900000000000001</v>
      </c>
      <c r="I32" s="3">
        <v>0.56899999999999995</v>
      </c>
      <c r="K32">
        <f t="shared" si="0"/>
        <v>0.35058751353215478</v>
      </c>
      <c r="L32">
        <f t="shared" si="1"/>
        <v>0.38749146232501319</v>
      </c>
    </row>
    <row r="33" spans="1:12">
      <c r="A33" s="3" t="s">
        <v>178</v>
      </c>
      <c r="B33" s="4" t="b">
        <v>1</v>
      </c>
      <c r="C33">
        <v>0.67074251245291505</v>
      </c>
      <c r="D33" s="4">
        <v>0.63720538683026928</v>
      </c>
      <c r="E33" s="3">
        <v>0.70427963807556082</v>
      </c>
      <c r="F33" s="4"/>
      <c r="G33" s="3">
        <v>0.67074251245291505</v>
      </c>
      <c r="H33" s="4">
        <v>0.47070000000000001</v>
      </c>
      <c r="I33" s="3">
        <v>0.87070000000000003</v>
      </c>
      <c r="K33">
        <f t="shared" si="0"/>
        <v>0.63720538683026928</v>
      </c>
      <c r="L33">
        <f t="shared" si="1"/>
        <v>0.70427963807556082</v>
      </c>
    </row>
    <row r="34" spans="1:12">
      <c r="A34" s="3" t="s">
        <v>199</v>
      </c>
      <c r="B34" s="4" t="b">
        <v>1</v>
      </c>
      <c r="C34">
        <v>1980.3686379999999</v>
      </c>
      <c r="D34" s="4">
        <v>1979.3686379999999</v>
      </c>
      <c r="E34" s="3">
        <v>1981.3686379999999</v>
      </c>
      <c r="F34" s="4"/>
      <c r="G34" s="3">
        <v>1980.3686379999999</v>
      </c>
      <c r="H34" s="4">
        <v>1977</v>
      </c>
      <c r="I34" s="3">
        <v>1983</v>
      </c>
      <c r="K34">
        <f>$C34-$N$1</f>
        <v>1979.3686379999999</v>
      </c>
      <c r="L34">
        <f>$C34+$N$1</f>
        <v>1981.3686379999999</v>
      </c>
    </row>
    <row r="35" spans="1:12">
      <c r="A35" s="3" t="s">
        <v>192</v>
      </c>
      <c r="B35" s="4" t="b">
        <v>1</v>
      </c>
      <c r="C35">
        <v>9.2125325999999993E-2</v>
      </c>
      <c r="D35" s="4">
        <v>8.7519059699999985E-2</v>
      </c>
      <c r="E35" s="3">
        <v>9.6731592300000002E-2</v>
      </c>
      <c r="F35" s="4"/>
      <c r="G35" s="3">
        <v>9.2125325999999993E-2</v>
      </c>
      <c r="H35" s="4">
        <v>0.01</v>
      </c>
      <c r="I35" s="3">
        <v>0.25</v>
      </c>
      <c r="K35">
        <f t="shared" si="0"/>
        <v>8.7519059699999985E-2</v>
      </c>
      <c r="L35">
        <f t="shared" si="1"/>
        <v>9.6731592300000002E-2</v>
      </c>
    </row>
    <row r="36" spans="1:12">
      <c r="A36" s="3"/>
      <c r="B36" s="4"/>
      <c r="C36" s="3"/>
      <c r="D36" s="4"/>
      <c r="E36" s="3"/>
      <c r="F36" s="4"/>
      <c r="G36" s="3"/>
      <c r="H36" s="4"/>
      <c r="I36" s="3"/>
      <c r="K36">
        <f t="shared" si="0"/>
        <v>0</v>
      </c>
      <c r="L36">
        <f t="shared" si="1"/>
        <v>0</v>
      </c>
    </row>
    <row r="37" spans="1:12">
      <c r="A37" s="3" t="s">
        <v>181</v>
      </c>
      <c r="B37" s="4" t="b">
        <v>1</v>
      </c>
      <c r="C37">
        <v>1</v>
      </c>
      <c r="D37" s="4">
        <v>0.95</v>
      </c>
      <c r="E37" s="3">
        <v>1</v>
      </c>
      <c r="F37" s="4"/>
      <c r="G37" s="3">
        <v>0.88794762789375303</v>
      </c>
      <c r="H37" s="4">
        <v>0.6</v>
      </c>
      <c r="I37" s="3">
        <v>1</v>
      </c>
      <c r="K37">
        <f t="shared" si="0"/>
        <v>0.95</v>
      </c>
      <c r="L37">
        <f t="shared" si="1"/>
        <v>1.05</v>
      </c>
    </row>
    <row r="38" spans="1:12">
      <c r="A38" s="3" t="s">
        <v>180</v>
      </c>
      <c r="B38" s="4" t="b">
        <v>1</v>
      </c>
      <c r="C38">
        <v>0.27515544597907998</v>
      </c>
      <c r="D38" s="4">
        <v>0.26139767368012595</v>
      </c>
      <c r="E38" s="3">
        <v>0.28891321827803401</v>
      </c>
      <c r="F38" s="4"/>
      <c r="G38" s="3">
        <v>3.5196824634162703E-2</v>
      </c>
      <c r="H38" s="4">
        <v>0</v>
      </c>
      <c r="I38" s="3">
        <v>0.4</v>
      </c>
      <c r="K38">
        <f t="shared" si="0"/>
        <v>0.26139767368012595</v>
      </c>
      <c r="L38">
        <f t="shared" si="1"/>
        <v>0.28891321827803401</v>
      </c>
    </row>
    <row r="39" spans="1:12">
      <c r="A39" s="3" t="s">
        <v>198</v>
      </c>
      <c r="B39" s="4" t="b">
        <v>1</v>
      </c>
      <c r="C39">
        <v>1979.564753595</v>
      </c>
      <c r="D39" s="4">
        <v>1978.564753595</v>
      </c>
      <c r="E39" s="3">
        <v>1980.564753595</v>
      </c>
      <c r="F39" s="4"/>
      <c r="G39" s="3">
        <v>1978.1544779999999</v>
      </c>
      <c r="H39" s="4">
        <v>1975</v>
      </c>
      <c r="I39" s="3">
        <v>1981</v>
      </c>
      <c r="K39">
        <f>$C39-$N$1</f>
        <v>1978.564753595</v>
      </c>
      <c r="L39">
        <f>$C39+$N$1</f>
        <v>1980.564753595</v>
      </c>
    </row>
    <row r="40" spans="1:12">
      <c r="A40" s="3" t="s">
        <v>193</v>
      </c>
      <c r="B40" s="4" t="b">
        <v>1</v>
      </c>
      <c r="C40">
        <v>0.01</v>
      </c>
      <c r="D40" s="4">
        <v>9.4999999999999998E-3</v>
      </c>
      <c r="E40" s="3">
        <v>1.0500000000000001E-2</v>
      </c>
      <c r="F40" s="4"/>
      <c r="G40" s="3">
        <v>1.6020197E-2</v>
      </c>
      <c r="H40" s="4">
        <v>0.01</v>
      </c>
      <c r="I40" s="3">
        <v>0.25</v>
      </c>
      <c r="K40">
        <f t="shared" si="0"/>
        <v>9.4999999999999998E-3</v>
      </c>
      <c r="L40">
        <f t="shared" si="1"/>
        <v>1.0500000000000001E-2</v>
      </c>
    </row>
    <row r="41" spans="1:12">
      <c r="A41" s="3"/>
      <c r="B41" s="4"/>
      <c r="C41" s="3"/>
      <c r="D41" s="4"/>
      <c r="E41" s="3"/>
      <c r="F41" s="4"/>
      <c r="G41" s="3"/>
      <c r="H41" s="4"/>
      <c r="I41" s="3"/>
      <c r="K41">
        <f t="shared" si="0"/>
        <v>0</v>
      </c>
      <c r="L41">
        <f t="shared" si="1"/>
        <v>0</v>
      </c>
    </row>
    <row r="42" spans="1:12">
      <c r="A42" s="3" t="s">
        <v>183</v>
      </c>
      <c r="B42" s="4" t="b">
        <v>1</v>
      </c>
      <c r="C42">
        <v>0</v>
      </c>
      <c r="D42" s="4">
        <v>0</v>
      </c>
      <c r="E42" s="3">
        <v>0.05</v>
      </c>
      <c r="F42" s="4"/>
      <c r="G42" s="3">
        <v>6.7316410037344093E-2</v>
      </c>
      <c r="H42" s="4">
        <v>0</v>
      </c>
      <c r="I42" s="3">
        <v>0.4</v>
      </c>
      <c r="K42">
        <f t="shared" si="0"/>
        <v>0</v>
      </c>
      <c r="L42">
        <f t="shared" si="1"/>
        <v>0</v>
      </c>
    </row>
    <row r="43" spans="1:12">
      <c r="A43" s="3" t="s">
        <v>182</v>
      </c>
      <c r="B43" s="4" t="b">
        <v>1</v>
      </c>
      <c r="C43">
        <v>0.63731691770864796</v>
      </c>
      <c r="D43" s="4">
        <v>0.60545107182321556</v>
      </c>
      <c r="E43" s="3">
        <v>0.66918276359408035</v>
      </c>
      <c r="F43" s="4"/>
      <c r="G43" s="3">
        <v>0.65290138844093704</v>
      </c>
      <c r="H43" s="4">
        <v>0.45290000000000002</v>
      </c>
      <c r="I43" s="3">
        <v>0.85289999999999999</v>
      </c>
      <c r="K43">
        <f t="shared" si="0"/>
        <v>0.60545107182321556</v>
      </c>
      <c r="L43">
        <f t="shared" si="1"/>
        <v>0.66918276359408035</v>
      </c>
    </row>
    <row r="44" spans="1:12">
      <c r="A44" s="3" t="s">
        <v>197</v>
      </c>
      <c r="B44" s="4" t="b">
        <v>1</v>
      </c>
      <c r="C44">
        <v>1984.3783902090099</v>
      </c>
      <c r="D44" s="4">
        <v>1983.3783902090099</v>
      </c>
      <c r="E44" s="3">
        <v>1985.3783902090099</v>
      </c>
      <c r="F44" s="4"/>
      <c r="G44" s="3">
        <v>1982.5804559999999</v>
      </c>
      <c r="H44" s="4">
        <v>1979</v>
      </c>
      <c r="I44" s="3">
        <v>1985</v>
      </c>
      <c r="K44">
        <f>$C44-$N$1</f>
        <v>1983.3783902090099</v>
      </c>
      <c r="L44">
        <f>$C44+$N$1</f>
        <v>1985.3783902090099</v>
      </c>
    </row>
    <row r="45" spans="1:12">
      <c r="A45" s="3" t="s">
        <v>194</v>
      </c>
      <c r="B45" s="4" t="b">
        <v>1</v>
      </c>
      <c r="C45">
        <v>7.2613946499022905E-2</v>
      </c>
      <c r="D45" s="4">
        <v>6.8983249174071753E-2</v>
      </c>
      <c r="E45" s="3">
        <v>7.6244643823974056E-2</v>
      </c>
      <c r="F45" s="4"/>
      <c r="G45" s="3">
        <v>0.113565582</v>
      </c>
      <c r="H45" s="4">
        <v>0.01</v>
      </c>
      <c r="I45" s="3">
        <v>0.25</v>
      </c>
      <c r="K45">
        <f t="shared" si="0"/>
        <v>6.8983249174071753E-2</v>
      </c>
      <c r="L45">
        <f t="shared" si="1"/>
        <v>7.6244643823974056E-2</v>
      </c>
    </row>
    <row r="46" spans="1:12">
      <c r="A46" s="3"/>
      <c r="B46" s="4"/>
      <c r="C46" s="3"/>
      <c r="D46" s="4"/>
      <c r="E46" s="3"/>
      <c r="F46" s="4"/>
      <c r="G46" s="3"/>
      <c r="H46" s="4"/>
      <c r="I46" s="3"/>
      <c r="K46">
        <f t="shared" si="0"/>
        <v>0</v>
      </c>
      <c r="L46">
        <f t="shared" si="1"/>
        <v>0</v>
      </c>
    </row>
    <row r="47" spans="1:12">
      <c r="A47" s="3" t="s">
        <v>185</v>
      </c>
      <c r="B47" s="4" t="b">
        <v>1</v>
      </c>
      <c r="C47">
        <v>0.38342564144450397</v>
      </c>
      <c r="D47" s="4">
        <v>0.36425435937227874</v>
      </c>
      <c r="E47" s="3">
        <v>0.40259692351672921</v>
      </c>
      <c r="F47" s="4"/>
      <c r="G47" s="3">
        <v>3.0415558827652699E-2</v>
      </c>
      <c r="H47" s="4">
        <v>0</v>
      </c>
      <c r="I47" s="3">
        <v>0.4</v>
      </c>
      <c r="K47">
        <f t="shared" si="0"/>
        <v>0.36425435937227874</v>
      </c>
      <c r="L47">
        <f t="shared" si="1"/>
        <v>0.40259692351672921</v>
      </c>
    </row>
    <row r="48" spans="1:12">
      <c r="A48" s="3" t="s">
        <v>184</v>
      </c>
      <c r="B48" s="4" t="b">
        <v>1</v>
      </c>
      <c r="C48">
        <v>0.4</v>
      </c>
      <c r="D48" s="4">
        <v>0.38</v>
      </c>
      <c r="E48" s="3">
        <v>0.42000000000000004</v>
      </c>
      <c r="F48" s="4"/>
      <c r="G48" s="3">
        <v>0.15603957496239601</v>
      </c>
      <c r="H48" s="4">
        <v>0</v>
      </c>
      <c r="I48" s="3">
        <v>0.4</v>
      </c>
      <c r="K48">
        <f t="shared" si="0"/>
        <v>0.38</v>
      </c>
      <c r="L48">
        <f t="shared" si="1"/>
        <v>0.42000000000000004</v>
      </c>
    </row>
    <row r="49" spans="1:12">
      <c r="A49" s="3" t="s">
        <v>196</v>
      </c>
      <c r="B49" s="4" t="b">
        <v>1</v>
      </c>
      <c r="C49">
        <v>1982</v>
      </c>
      <c r="D49" s="4">
        <v>1981</v>
      </c>
      <c r="E49" s="3">
        <v>1983</v>
      </c>
      <c r="F49" s="4"/>
      <c r="G49" s="3">
        <v>1979.3591630000001</v>
      </c>
      <c r="H49" s="4">
        <v>1976</v>
      </c>
      <c r="I49" s="3">
        <v>1982</v>
      </c>
      <c r="K49">
        <f>$C49-$N$1</f>
        <v>1981</v>
      </c>
      <c r="L49">
        <f>$C49+$N$1</f>
        <v>1983</v>
      </c>
    </row>
    <row r="50" spans="1:12">
      <c r="A50" s="3" t="s">
        <v>195</v>
      </c>
      <c r="B50" s="4" t="b">
        <v>1</v>
      </c>
      <c r="C50">
        <v>0.26664652008617801</v>
      </c>
      <c r="D50" s="4">
        <v>0.25331419408186912</v>
      </c>
      <c r="E50" s="3">
        <v>0.2799788460904869</v>
      </c>
      <c r="F50" s="4"/>
      <c r="G50" s="3">
        <v>0.332609343</v>
      </c>
      <c r="H50" s="4">
        <v>0.21</v>
      </c>
      <c r="I50" s="3">
        <v>0.45</v>
      </c>
      <c r="K50">
        <f t="shared" si="0"/>
        <v>0.25331419408186912</v>
      </c>
      <c r="L50">
        <f t="shared" si="1"/>
        <v>0.2799788460904869</v>
      </c>
    </row>
    <row r="51" spans="1:12">
      <c r="A51" s="3"/>
      <c r="B51" s="4"/>
      <c r="C51" s="3"/>
      <c r="D51" s="4"/>
      <c r="E51" s="3"/>
      <c r="F51" s="4"/>
    </row>
    <row r="52" spans="1:12">
      <c r="A52" s="3"/>
      <c r="B52" s="4"/>
      <c r="C52" s="3"/>
      <c r="D52" s="4"/>
      <c r="E52" s="3"/>
      <c r="F52" s="4"/>
    </row>
    <row r="53" spans="1:12">
      <c r="A53" s="3"/>
      <c r="B53" s="4"/>
      <c r="C53" s="3"/>
      <c r="D53" s="4"/>
      <c r="E53" s="3"/>
      <c r="F53" s="4"/>
    </row>
    <row r="54" spans="1:12">
      <c r="A54" s="3"/>
      <c r="B54" s="4"/>
      <c r="C54" s="3"/>
      <c r="D54" s="4"/>
      <c r="E54" s="3"/>
      <c r="F54" s="4"/>
    </row>
    <row r="55" spans="1:12">
      <c r="A55" s="3"/>
      <c r="B55" s="4"/>
      <c r="C55" s="3"/>
      <c r="D55" s="4"/>
      <c r="E55" s="3"/>
      <c r="F55" s="4"/>
    </row>
  </sheetData>
  <autoFilter ref="A1:G54" xr:uid="{33501BBF-3F3C-4F5B-841D-C4E4F2721271}">
    <sortState xmlns:xlrd2="http://schemas.microsoft.com/office/spreadsheetml/2017/richdata2" ref="A2:G54">
      <sortCondition ref="A1:A54"/>
    </sortState>
  </autoFilter>
  <conditionalFormatting sqref="C2:C4 C6:C12 C14:C15 C19:C20 C24:C25 C29:C30 C34:C35 C39:C40 C44:C45 C53:C55 C49:C50">
    <cfRule type="expression" dxfId="44" priority="91">
      <formula>AND(OR(C2 &lt; D2, C2 &gt; E2, C2 = none), A2 &lt;&gt; none)</formula>
    </cfRule>
  </conditionalFormatting>
  <conditionalFormatting sqref="D2:D4 D6:D12 D14:D15 D19:D20 D24:D25 D29:D30 D34:D35 D39:D40 D44:D45 D53:D55 D49:D50">
    <cfRule type="expression" dxfId="43" priority="88">
      <formula>AND(OR(D2 &gt; E2, D2=none), A2 &lt;&gt; none)</formula>
    </cfRule>
  </conditionalFormatting>
  <conditionalFormatting sqref="E2:E12 E14:E15 E19:E20 E24:E25 E29:E30 E34:E35 E39:E40 E44:E45 E53:E55 E49:E50">
    <cfRule type="expression" dxfId="42" priority="86">
      <formula>AND(OR(E2 &lt; D2, E2=none), A2 &lt;&gt; none)</formula>
    </cfRule>
  </conditionalFormatting>
  <conditionalFormatting sqref="B2:B55">
    <cfRule type="expression" dxfId="41" priority="85">
      <formula>AND(B2&lt;&gt;TRUE, B2&lt;&gt;FALSE, A2&lt;&gt;none)</formula>
    </cfRule>
  </conditionalFormatting>
  <conditionalFormatting sqref="C3">
    <cfRule type="expression" dxfId="40" priority="77">
      <formula>AND(OR(C3 &lt; D3, C3 &gt; E3), A3 &lt;&gt; "")</formula>
    </cfRule>
  </conditionalFormatting>
  <conditionalFormatting sqref="C13">
    <cfRule type="expression" dxfId="39" priority="82">
      <formula>AND(OR(C13 &lt; D13, C13 &gt; E13, C13 = none), A12 &lt;&gt; none)</formula>
    </cfRule>
  </conditionalFormatting>
  <conditionalFormatting sqref="D13">
    <cfRule type="expression" dxfId="38" priority="83">
      <formula>AND(OR(D13 &gt; E13, D13=none), A12 &lt;&gt; none)</formula>
    </cfRule>
  </conditionalFormatting>
  <conditionalFormatting sqref="E13">
    <cfRule type="expression" dxfId="37" priority="84">
      <formula>AND(OR(E13 &lt; D13, E13=none), A12 &lt;&gt; none)</formula>
    </cfRule>
  </conditionalFormatting>
  <conditionalFormatting sqref="C16:C18 C21:C23 C26:C28 C31:C33 C36:C38 C41:C43 C46:C48 C51">
    <cfRule type="expression" dxfId="36" priority="95">
      <formula>AND(OR(C16 &lt; D16, C16 &gt; E16, C16 = none), #REF! &lt;&gt; none)</formula>
    </cfRule>
  </conditionalFormatting>
  <conditionalFormatting sqref="D16:D18 D21:D23 D26:D28 D31:D33 D36:D38 D41:D43 D46:D48 D51">
    <cfRule type="expression" dxfId="35" priority="97">
      <formula>AND(OR(D16 &gt; E16, D16=none), #REF! &lt;&gt; none)</formula>
    </cfRule>
  </conditionalFormatting>
  <conditionalFormatting sqref="E16:E18 E21:E23 E26:E28 E31:E33 E36:E38 E41:E43 E46:E48 E51">
    <cfRule type="expression" dxfId="34" priority="99">
      <formula>AND(OR(E16 &lt; D16, E16=none), #REF! &lt;&gt; none)</formula>
    </cfRule>
  </conditionalFormatting>
  <conditionalFormatting sqref="C52">
    <cfRule type="expression" dxfId="33" priority="68">
      <formula>AND(OR(C52 &lt; D52, C52 &gt; E52, C52 = none), #REF! &lt;&gt; none)</formula>
    </cfRule>
  </conditionalFormatting>
  <conditionalFormatting sqref="D52">
    <cfRule type="expression" dxfId="32" priority="69">
      <formula>AND(OR(D52 &gt; E52, D52=none), #REF! &lt;&gt; none)</formula>
    </cfRule>
  </conditionalFormatting>
  <conditionalFormatting sqref="E52">
    <cfRule type="expression" dxfId="31" priority="70">
      <formula>AND(OR(E52 &lt; D52, E52=none), #REF! &lt;&gt; none)</formula>
    </cfRule>
  </conditionalFormatting>
  <conditionalFormatting sqref="C5">
    <cfRule type="expression" dxfId="30" priority="16">
      <formula>AND(OR(C5 &lt; D5, C5 &gt; E5, C5 = none), A5 &lt;&gt; none)</formula>
    </cfRule>
  </conditionalFormatting>
  <conditionalFormatting sqref="D5">
    <cfRule type="expression" dxfId="29" priority="15">
      <formula>AND(OR(D5 &gt; E5, D5=none), A5 &lt;&gt; none)</formula>
    </cfRule>
  </conditionalFormatting>
  <conditionalFormatting sqref="E5">
    <cfRule type="expression" dxfId="28" priority="14">
      <formula>AND(OR(E5 &lt; D5, E5=none), A5 &lt;&gt; none)</formula>
    </cfRule>
  </conditionalFormatting>
  <conditionalFormatting sqref="G2:G4 G6:G12 G14:G15 G19:G20 G24:G25 G29:G30 G34:G35 G39:G40 G44:G45 G49:G50">
    <cfRule type="expression" dxfId="12" priority="10">
      <formula>AND(OR(G2 &lt; H2, G2 &gt; I2, G2 = none), E2 &lt;&gt; none)</formula>
    </cfRule>
  </conditionalFormatting>
  <conditionalFormatting sqref="H2:H4 H6:H12 H14:H15 H19:H20 H24:H25 H29:H30 H34:H35 H39:H40 H44:H45 H49:H50">
    <cfRule type="expression" dxfId="11" priority="9">
      <formula>AND(OR(H2 &gt; I2, H2=none), E2 &lt;&gt; none)</formula>
    </cfRule>
  </conditionalFormatting>
  <conditionalFormatting sqref="I2:I12 I14:I15 I19:I20 I24:I25 I29:I30 I34:I35 I39:I40 I44:I45 I49:I50">
    <cfRule type="expression" dxfId="10" priority="8">
      <formula>AND(OR(I2 &lt; H2, I2=none), E2 &lt;&gt; none)</formula>
    </cfRule>
  </conditionalFormatting>
  <conditionalFormatting sqref="G3">
    <cfRule type="expression" dxfId="9" priority="4">
      <formula>AND(OR(G3 &lt; H3, G3 &gt; I3), E3 &lt;&gt; "")</formula>
    </cfRule>
  </conditionalFormatting>
  <conditionalFormatting sqref="G13">
    <cfRule type="expression" dxfId="8" priority="5">
      <formula>AND(OR(G13 &lt; H13, G13 &gt; I13, G13 = none), E12 &lt;&gt; none)</formula>
    </cfRule>
  </conditionalFormatting>
  <conditionalFormatting sqref="H13">
    <cfRule type="expression" dxfId="7" priority="6">
      <formula>AND(OR(H13 &gt; I13, H13=none), E12 &lt;&gt; none)</formula>
    </cfRule>
  </conditionalFormatting>
  <conditionalFormatting sqref="I13">
    <cfRule type="expression" dxfId="6" priority="7">
      <formula>AND(OR(I13 &lt; H13, I13=none), E12 &lt;&gt; none)</formula>
    </cfRule>
  </conditionalFormatting>
  <conditionalFormatting sqref="G16:G18 G21:G23 G26:G28 G31:G33 G36:G38 G41:G43 G46:G48">
    <cfRule type="expression" dxfId="5" priority="11">
      <formula>AND(OR(G16 &lt; H16, G16 &gt; I16, G16 = none), #REF! &lt;&gt; none)</formula>
    </cfRule>
  </conditionalFormatting>
  <conditionalFormatting sqref="H16:H18 H21:H23 H26:H28 H31:H33 H36:H38 H41:H43 H46:H48">
    <cfRule type="expression" dxfId="4" priority="12">
      <formula>AND(OR(H16 &gt; I16, H16=none), #REF! &lt;&gt; none)</formula>
    </cfRule>
  </conditionalFormatting>
  <conditionalFormatting sqref="I16:I18 I21:I23 I26:I28 I31:I33 I36:I38 I41:I43 I46:I48">
    <cfRule type="expression" dxfId="3" priority="13">
      <formula>AND(OR(I16 &lt; H16, I16=none), #REF! &lt;&gt; none)</formula>
    </cfRule>
  </conditionalFormatting>
  <conditionalFormatting sqref="G5">
    <cfRule type="expression" dxfId="2" priority="3">
      <formula>AND(OR(G5 &lt; H5, G5 &gt; I5, G5 = none), E5 &lt;&gt; none)</formula>
    </cfRule>
  </conditionalFormatting>
  <conditionalFormatting sqref="H5">
    <cfRule type="expression" dxfId="1" priority="2">
      <formula>AND(OR(H5 &gt; I5, H5=none), E5 &lt;&gt; none)</formula>
    </cfRule>
  </conditionalFormatting>
  <conditionalFormatting sqref="I5">
    <cfRule type="expression" dxfId="0" priority="1">
      <formula>AND(OR(I5 &lt; H5, I5=none), E5 &lt;&gt; none)</formula>
    </cfRule>
  </conditionalFormatting>
  <dataValidations count="1">
    <dataValidation type="list" allowBlank="1" showInputMessage="1" showErrorMessage="1" sqref="B2:B55" xr:uid="{00000000-0002-0000-0100-000000000000}">
      <formula1>boolean_selection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/>
  <cols>
    <col min="1" max="1" width="18.7109375" bestFit="1" customWidth="1"/>
    <col min="6" max="6" width="13.42578125" bestFit="1" customWidth="1"/>
    <col min="7" max="7" width="10.28515625" bestFit="1" customWidth="1"/>
  </cols>
  <sheetData>
    <row r="1" spans="1:13">
      <c r="A1" s="20" t="s">
        <v>21</v>
      </c>
      <c r="B1" s="19"/>
      <c r="C1" t="s">
        <v>28</v>
      </c>
      <c r="F1" s="9" t="s">
        <v>30</v>
      </c>
    </row>
    <row r="2" spans="1:13">
      <c r="A2" s="20" t="s">
        <v>22</v>
      </c>
      <c r="B2" s="19"/>
      <c r="C2" t="s">
        <v>28</v>
      </c>
      <c r="F2" s="10" t="s">
        <v>31</v>
      </c>
    </row>
    <row r="3" spans="1:13">
      <c r="A3" s="20" t="s">
        <v>23</v>
      </c>
      <c r="B3" s="19"/>
      <c r="C3" s="1" t="s">
        <v>27</v>
      </c>
      <c r="F3" s="10">
        <f>n_samples_per_iteration-n_center_repeats</f>
        <v>0</v>
      </c>
      <c r="G3" s="1" t="s">
        <v>33</v>
      </c>
    </row>
    <row r="4" spans="1:13">
      <c r="A4" s="20" t="s">
        <v>24</v>
      </c>
      <c r="B4" s="19"/>
      <c r="C4" s="1" t="s">
        <v>27</v>
      </c>
      <c r="F4" s="10" t="s">
        <v>32</v>
      </c>
    </row>
    <row r="5" spans="1:13">
      <c r="F5" s="10">
        <f>n_replicates*$F$3</f>
        <v>0</v>
      </c>
      <c r="G5" s="1" t="s">
        <v>34</v>
      </c>
      <c r="M5" s="12" t="s">
        <v>38</v>
      </c>
    </row>
    <row r="7" spans="1:13">
      <c r="A7" s="11" t="s">
        <v>41</v>
      </c>
    </row>
    <row r="11" spans="1:13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/>
  </sheetViews>
  <sheetFormatPr defaultColWidth="8.85546875" defaultRowHeight="15"/>
  <cols>
    <col min="1" max="1" width="18.42578125" customWidth="1"/>
    <col min="2" max="2" width="10" bestFit="1" customWidth="1"/>
    <col min="3" max="3" width="16.28515625" bestFit="1" customWidth="1"/>
    <col min="4" max="4" width="10.85546875" customWidth="1"/>
  </cols>
  <sheetData>
    <row r="1" spans="1:25">
      <c r="A1" s="15" t="s">
        <v>52</v>
      </c>
    </row>
    <row r="2" spans="1:25">
      <c r="A2" t="s">
        <v>59</v>
      </c>
      <c r="K2" s="11" t="s">
        <v>61</v>
      </c>
    </row>
    <row r="3" spans="1:25">
      <c r="A3" s="23" t="s">
        <v>50</v>
      </c>
      <c r="B3" s="23"/>
      <c r="C3" s="23"/>
      <c r="D3" s="23"/>
      <c r="E3" s="23"/>
      <c r="F3" s="23"/>
      <c r="G3" s="23"/>
      <c r="K3" s="11" t="s">
        <v>62</v>
      </c>
    </row>
    <row r="4" spans="1:25">
      <c r="A4" t="s">
        <v>60</v>
      </c>
    </row>
    <row r="5" spans="1:25">
      <c r="A5" t="s">
        <v>63</v>
      </c>
    </row>
    <row r="6" spans="1:25">
      <c r="Q6" t="s">
        <v>112</v>
      </c>
    </row>
    <row r="7" spans="1:25">
      <c r="A7" s="11" t="s">
        <v>51</v>
      </c>
      <c r="C7" s="11"/>
    </row>
    <row r="8" spans="1:25">
      <c r="A8" s="29" t="s">
        <v>85</v>
      </c>
      <c r="B8" s="30" t="s">
        <v>114</v>
      </c>
      <c r="C8" s="29" t="s">
        <v>115</v>
      </c>
      <c r="D8" s="31" t="s">
        <v>151</v>
      </c>
      <c r="E8" s="29" t="s">
        <v>164</v>
      </c>
      <c r="F8" s="31"/>
      <c r="G8" s="29"/>
      <c r="H8" s="31"/>
      <c r="I8" s="29"/>
      <c r="J8" s="31"/>
      <c r="K8" s="29"/>
      <c r="L8" s="31"/>
      <c r="N8" t="s">
        <v>113</v>
      </c>
    </row>
    <row r="9" spans="1:25">
      <c r="A9" s="35" t="s">
        <v>98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25">
      <c r="A10" s="32" t="s">
        <v>95</v>
      </c>
      <c r="B10" s="33" t="s">
        <v>96</v>
      </c>
      <c r="C10" s="32" t="s">
        <v>95</v>
      </c>
      <c r="D10" s="33" t="s">
        <v>96</v>
      </c>
      <c r="E10" s="32" t="s">
        <v>96</v>
      </c>
      <c r="F10" s="33"/>
      <c r="G10" s="32" t="s">
        <v>12</v>
      </c>
      <c r="H10" s="33" t="s">
        <v>12</v>
      </c>
      <c r="I10" s="32" t="s">
        <v>12</v>
      </c>
      <c r="J10" s="33" t="s">
        <v>12</v>
      </c>
      <c r="K10" s="32" t="s">
        <v>12</v>
      </c>
      <c r="L10" s="33" t="s">
        <v>12</v>
      </c>
    </row>
    <row r="12" spans="1:2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>
      <c r="A14" t="s">
        <v>48</v>
      </c>
      <c r="B14" t="s">
        <v>49</v>
      </c>
    </row>
    <row r="15" spans="1: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</row>
    <row r="16" spans="1: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>
      <c r="A18" s="2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</row>
    <row r="22" spans="1:2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</row>
    <row r="26" spans="1:25">
      <c r="A26" s="21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>
      <c r="A28" s="2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5">
      <c r="A30" s="21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</row>
    <row r="31" spans="1: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</row>
    <row r="32" spans="1:25">
      <c r="A32" s="21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</row>
    <row r="33" spans="1:25">
      <c r="A33" s="21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5">
      <c r="A34" s="2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</row>
    <row r="38" spans="1:25">
      <c r="I38" t="s">
        <v>152</v>
      </c>
      <c r="J38" t="s">
        <v>153</v>
      </c>
    </row>
    <row r="39" spans="1:25">
      <c r="I39" t="s">
        <v>154</v>
      </c>
      <c r="J39" t="s">
        <v>155</v>
      </c>
    </row>
  </sheetData>
  <conditionalFormatting sqref="D10:L10">
    <cfRule type="expression" dxfId="27" priority="4">
      <formula>AND(D8&lt;&gt;none, D8&lt;&gt;select_label, OR(D10=none, D10=select_label))</formula>
    </cfRule>
  </conditionalFormatting>
  <conditionalFormatting sqref="D8:L8">
    <cfRule type="expression" dxfId="26" priority="3">
      <formula>AND(OR(D8=none, D8=select_label), AND(D10&lt;&gt;none, D10&lt;&gt;select_label))</formula>
    </cfRule>
  </conditionalFormatting>
  <conditionalFormatting sqref="A8:C8">
    <cfRule type="expression" dxfId="25" priority="2">
      <formula>AND(OR(A8=none, A8=select_label), AND(A10&lt;&gt;none, A10&lt;&gt;select_label))</formula>
    </cfRule>
  </conditionalFormatting>
  <conditionalFormatting sqref="A10:C10">
    <cfRule type="expression" dxfId="24" priority="1">
      <formula>AND(A8&lt;&gt;none, A8&lt;&gt;select_label, OR(A10=none, A10=select_label))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1"/>
  <sheetViews>
    <sheetView tabSelected="1" workbookViewId="0">
      <selection activeCell="E12" sqref="E12"/>
    </sheetView>
  </sheetViews>
  <sheetFormatPr defaultColWidth="8.85546875" defaultRowHeight="1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43.7109375" bestFit="1" customWidth="1"/>
    <col min="7" max="7" width="10.42578125" customWidth="1"/>
    <col min="8" max="8" width="13.140625" customWidth="1"/>
    <col min="10" max="10" width="7.7109375" customWidth="1"/>
    <col min="11" max="11" width="22.42578125" customWidth="1"/>
  </cols>
  <sheetData>
    <row r="1" spans="1:8">
      <c r="A1" s="11" t="s">
        <v>52</v>
      </c>
    </row>
    <row r="2" spans="1:8">
      <c r="A2" s="24" t="s">
        <v>83</v>
      </c>
    </row>
    <row r="3" spans="1:8">
      <c r="A3" t="s">
        <v>75</v>
      </c>
      <c r="D3" s="11" t="s">
        <v>58</v>
      </c>
    </row>
    <row r="4" spans="1:8">
      <c r="A4" t="s">
        <v>82</v>
      </c>
    </row>
    <row r="6" spans="1:8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8">
      <c r="A7" s="28" t="s">
        <v>85</v>
      </c>
      <c r="B7" s="5" t="s">
        <v>70</v>
      </c>
      <c r="C7" s="5" t="s">
        <v>68</v>
      </c>
      <c r="D7" s="5" t="s">
        <v>77</v>
      </c>
      <c r="E7" s="5">
        <v>0.05</v>
      </c>
      <c r="F7" s="5"/>
      <c r="G7">
        <v>0.05</v>
      </c>
    </row>
    <row r="8" spans="1:8">
      <c r="A8" s="6" t="s">
        <v>114</v>
      </c>
      <c r="B8" s="6" t="s">
        <v>71</v>
      </c>
      <c r="C8" s="6" t="s">
        <v>68</v>
      </c>
      <c r="D8" s="6" t="s">
        <v>77</v>
      </c>
      <c r="E8" s="6">
        <v>0.4</v>
      </c>
      <c r="F8" s="6"/>
      <c r="G8">
        <v>0.5</v>
      </c>
    </row>
    <row r="9" spans="1:8">
      <c r="A9" s="5" t="s">
        <v>115</v>
      </c>
      <c r="B9" s="5" t="s">
        <v>70</v>
      </c>
      <c r="C9" s="5" t="s">
        <v>68</v>
      </c>
      <c r="D9" s="5" t="s">
        <v>77</v>
      </c>
      <c r="E9" s="5">
        <v>0.15</v>
      </c>
      <c r="F9" s="5"/>
      <c r="G9">
        <v>0.25</v>
      </c>
      <c r="H9" t="s">
        <v>116</v>
      </c>
    </row>
    <row r="10" spans="1:8">
      <c r="A10" s="6" t="s">
        <v>151</v>
      </c>
      <c r="B10" s="6" t="s">
        <v>71</v>
      </c>
      <c r="C10" s="6" t="s">
        <v>69</v>
      </c>
      <c r="D10" s="6" t="s">
        <v>77</v>
      </c>
      <c r="E10" s="6">
        <v>0.05</v>
      </c>
      <c r="F10" s="6"/>
      <c r="G10">
        <v>0.02</v>
      </c>
    </row>
    <row r="11" spans="1:8">
      <c r="A11" s="5" t="s">
        <v>164</v>
      </c>
      <c r="B11" s="5" t="s">
        <v>71</v>
      </c>
      <c r="C11" s="5" t="s">
        <v>69</v>
      </c>
      <c r="D11" s="5" t="s">
        <v>77</v>
      </c>
      <c r="E11" s="5">
        <v>0.05</v>
      </c>
      <c r="F11" s="5"/>
      <c r="G11">
        <v>0.03</v>
      </c>
    </row>
    <row r="12" spans="1:8">
      <c r="A12" s="6" t="s">
        <v>114</v>
      </c>
      <c r="B12" s="6" t="s">
        <v>71</v>
      </c>
      <c r="C12" s="6" t="s">
        <v>69</v>
      </c>
      <c r="D12" s="6" t="s">
        <v>77</v>
      </c>
      <c r="E12" s="6">
        <v>0.3</v>
      </c>
      <c r="F12" s="6"/>
      <c r="G12">
        <v>0.15</v>
      </c>
    </row>
    <row r="13" spans="1:8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8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8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8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21" spans="1:1">
      <c r="A21" s="42"/>
    </row>
  </sheetData>
  <conditionalFormatting sqref="F7:F16">
    <cfRule type="expression" dxfId="23" priority="6">
      <formula>AND(D7="Custom", F7=none, AND(A7&lt;&gt;select_label, A7&lt;&gt;none))</formula>
    </cfRule>
    <cfRule type="expression" dxfId="22" priority="11">
      <formula>D7&lt;&gt;"Custom"</formula>
    </cfRule>
  </conditionalFormatting>
  <conditionalFormatting sqref="B7:B8 B11:B16">
    <cfRule type="expression" dxfId="21" priority="10">
      <formula>AND(OR(B7=select_label, B7=none), AND(A7&lt;&gt;select_label, A7&lt;&gt;none))</formula>
    </cfRule>
  </conditionalFormatting>
  <conditionalFormatting sqref="C7 C11:C16">
    <cfRule type="expression" dxfId="20" priority="9">
      <formula>AND(OR(C7=select_label, C7=none), AND(A7&lt;&gt;select_label, A7&lt;&gt;none))</formula>
    </cfRule>
  </conditionalFormatting>
  <conditionalFormatting sqref="D7:D8 D11:D16">
    <cfRule type="expression" dxfId="19" priority="8">
      <formula>AND(OR(D7=select_label, D7=none), AND(A7&lt;&gt;select_label, A7&lt;&gt;none))</formula>
    </cfRule>
  </conditionalFormatting>
  <conditionalFormatting sqref="E7:E8 E11:E16">
    <cfRule type="expression" dxfId="18" priority="7">
      <formula>AND(OR(E7=select_label, E7=none), AND(A7&lt;&gt;select_label, A7&lt;&gt;none))</formula>
    </cfRule>
  </conditionalFormatting>
  <conditionalFormatting sqref="C8">
    <cfRule type="expression" dxfId="17" priority="5">
      <formula>AND(OR(C8=select_label, C8=none), AND(A8&lt;&gt;select_label, A8&lt;&gt;none))</formula>
    </cfRule>
  </conditionalFormatting>
  <conditionalFormatting sqref="E9:E10">
    <cfRule type="expression" dxfId="16" priority="1">
      <formula>AND(OR(E9=select_label, E9=none), AND(A9&lt;&gt;select_label, A9&lt;&gt;none))</formula>
    </cfRule>
  </conditionalFormatting>
  <conditionalFormatting sqref="B9:B10">
    <cfRule type="expression" dxfId="15" priority="4">
      <formula>AND(OR(B9=select_label, B9=none), AND(A9&lt;&gt;select_label, A9&lt;&gt;none))</formula>
    </cfRule>
  </conditionalFormatting>
  <conditionalFormatting sqref="C9:C10">
    <cfRule type="expression" dxfId="14" priority="3">
      <formula>AND(OR(C9=select_label, C9=none), AND(A9&lt;&gt;select_label, A9&lt;&gt;none))</formula>
    </cfRule>
  </conditionalFormatting>
  <conditionalFormatting sqref="D9:D10">
    <cfRule type="expression" dxfId="13" priority="2">
      <formula>AND(OR(D9=select_label, D9=none), AND(A9&lt;&gt;select_label, A9&lt;&gt;none))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7109375" bestFit="1" customWidth="1"/>
    <col min="10" max="10" width="11.28515625" customWidth="1"/>
    <col min="11" max="11" width="18.140625" bestFit="1" customWidth="1"/>
  </cols>
  <sheetData>
    <row r="1" spans="1:11" s="2" customFormat="1">
      <c r="A1" s="2" t="s">
        <v>11</v>
      </c>
      <c r="B1" s="25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>
      <c r="A2" s="26" t="s">
        <v>12</v>
      </c>
      <c r="B2" s="26" t="s">
        <v>12</v>
      </c>
      <c r="C2" s="26" t="s">
        <v>12</v>
      </c>
      <c r="D2" s="26" t="s">
        <v>12</v>
      </c>
      <c r="E2" s="26" t="s">
        <v>56</v>
      </c>
      <c r="F2" s="26" t="s">
        <v>12</v>
      </c>
      <c r="G2" s="26" t="s">
        <v>12</v>
      </c>
      <c r="H2" s="26" t="s">
        <v>12</v>
      </c>
      <c r="I2" s="26" t="s">
        <v>12</v>
      </c>
      <c r="J2" s="26" t="s">
        <v>12</v>
      </c>
      <c r="K2" s="26" t="s">
        <v>12</v>
      </c>
    </row>
    <row r="3" spans="1:11">
      <c r="A3" s="27" t="b">
        <v>1</v>
      </c>
      <c r="B3" s="27" t="s">
        <v>14</v>
      </c>
      <c r="C3" s="27" t="s">
        <v>18</v>
      </c>
      <c r="D3" s="27" t="s">
        <v>43</v>
      </c>
      <c r="F3" s="27" t="s">
        <v>70</v>
      </c>
      <c r="G3" s="27" t="s">
        <v>68</v>
      </c>
      <c r="H3" s="27" t="str">
        <f t="array" ref="H3:H14">TRANSPOSE(IF('Observations metadata'!obs_data_channels="","",'Observations metadata'!obs_data_channels))</f>
        <v>Population</v>
      </c>
      <c r="I3" s="27" t="s">
        <v>77</v>
      </c>
      <c r="K3" s="27" t="s">
        <v>95</v>
      </c>
    </row>
    <row r="4" spans="1:11">
      <c r="A4" s="27" t="b">
        <v>0</v>
      </c>
      <c r="B4" s="27" t="s">
        <v>15</v>
      </c>
      <c r="C4" s="27" t="s">
        <v>19</v>
      </c>
      <c r="D4" s="27" t="s">
        <v>44</v>
      </c>
      <c r="F4" s="27" t="s">
        <v>71</v>
      </c>
      <c r="G4" s="27" t="s">
        <v>69</v>
      </c>
      <c r="H4" s="27" t="str">
        <v>Prevalence</v>
      </c>
      <c r="I4" s="27" t="s">
        <v>78</v>
      </c>
      <c r="K4" s="27" t="s">
        <v>96</v>
      </c>
    </row>
    <row r="5" spans="1:11">
      <c r="B5" s="27" t="s">
        <v>16</v>
      </c>
      <c r="C5" s="27" t="s">
        <v>20</v>
      </c>
      <c r="D5" s="27" t="s">
        <v>45</v>
      </c>
      <c r="H5" s="27" t="str">
        <v>OnART</v>
      </c>
    </row>
    <row r="6" spans="1:11">
      <c r="H6" s="27" t="str">
        <v>Incidence</v>
      </c>
    </row>
    <row r="7" spans="1:11">
      <c r="H7" s="27" t="str">
        <v>ARTCoverage</v>
      </c>
    </row>
    <row r="8" spans="1:11">
      <c r="H8" s="27" t="str">
        <v/>
      </c>
    </row>
    <row r="9" spans="1:11">
      <c r="H9" s="27" t="str">
        <v/>
      </c>
    </row>
    <row r="10" spans="1:11">
      <c r="H10" s="27" t="str">
        <v/>
      </c>
    </row>
    <row r="11" spans="1:11">
      <c r="H11" s="27" t="str">
        <v/>
      </c>
    </row>
    <row r="12" spans="1:11">
      <c r="H12" s="27" t="str">
        <v/>
      </c>
    </row>
    <row r="13" spans="1:11">
      <c r="H13" s="27" t="str">
        <v/>
      </c>
    </row>
    <row r="14" spans="1:11">
      <c r="H14" s="27" t="str">
        <v/>
      </c>
    </row>
    <row r="26" spans="2: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ECF63-B385-3846-94E6-8BA15D3CAC01}">
  <dimension ref="A1:Z1008"/>
  <sheetViews>
    <sheetView workbookViewId="0"/>
  </sheetViews>
  <sheetFormatPr defaultColWidth="10.85546875" defaultRowHeight="15"/>
  <cols>
    <col min="1" max="1" width="11.85546875" style="37" bestFit="1" customWidth="1"/>
    <col min="2" max="16384" width="10.85546875" style="37"/>
  </cols>
  <sheetData>
    <row r="1" spans="1:23">
      <c r="A1" s="36" t="s">
        <v>119</v>
      </c>
      <c r="B1" s="36" t="s">
        <v>85</v>
      </c>
      <c r="G1" s="38" t="s">
        <v>125</v>
      </c>
    </row>
    <row r="3" spans="1:23">
      <c r="A3" s="38" t="s">
        <v>120</v>
      </c>
    </row>
    <row r="4" spans="1:23">
      <c r="A4" s="39" t="s">
        <v>86</v>
      </c>
      <c r="B4" s="39" t="s">
        <v>126</v>
      </c>
      <c r="C4" s="39" t="s">
        <v>127</v>
      </c>
      <c r="D4" s="39" t="s">
        <v>128</v>
      </c>
      <c r="E4" s="39"/>
      <c r="F4" s="39"/>
      <c r="G4" s="39"/>
      <c r="H4" s="39"/>
      <c r="I4" s="39"/>
      <c r="J4" s="39"/>
      <c r="K4" s="39"/>
      <c r="L4" s="39"/>
    </row>
    <row r="5" spans="1:23">
      <c r="A5" s="38" t="s">
        <v>121</v>
      </c>
    </row>
    <row r="6" spans="1:23">
      <c r="A6" s="41" t="s">
        <v>122</v>
      </c>
      <c r="B6" s="40" t="s">
        <v>124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23">
      <c r="A8" s="36" t="s">
        <v>86</v>
      </c>
      <c r="B8" s="36" t="s">
        <v>126</v>
      </c>
      <c r="C8" s="36" t="s">
        <v>127</v>
      </c>
      <c r="D8" s="36" t="s">
        <v>128</v>
      </c>
      <c r="E8" s="36" t="s">
        <v>85</v>
      </c>
      <c r="F8" s="36" t="s">
        <v>122</v>
      </c>
      <c r="G8" s="36" t="s">
        <v>124</v>
      </c>
      <c r="J8" s="38" t="s">
        <v>129</v>
      </c>
      <c r="Q8" s="40">
        <v>2010</v>
      </c>
      <c r="R8" s="40" t="s">
        <v>102</v>
      </c>
      <c r="S8" s="40" t="s">
        <v>43</v>
      </c>
      <c r="T8" s="40" t="s">
        <v>130</v>
      </c>
      <c r="U8" s="49">
        <v>124644</v>
      </c>
      <c r="V8" s="40"/>
      <c r="W8" s="40">
        <v>17697</v>
      </c>
    </row>
    <row r="9" spans="1:23">
      <c r="A9" s="40">
        <v>2010</v>
      </c>
      <c r="B9" s="40" t="s">
        <v>102</v>
      </c>
      <c r="C9" s="40" t="s">
        <v>43</v>
      </c>
      <c r="D9" s="40" t="s">
        <v>130</v>
      </c>
      <c r="E9" s="40">
        <v>136134</v>
      </c>
      <c r="F9" s="40"/>
      <c r="G9" s="40">
        <v>17697</v>
      </c>
      <c r="Q9" s="39">
        <v>2010</v>
      </c>
      <c r="R9" s="39" t="s">
        <v>102</v>
      </c>
      <c r="S9" s="39" t="s">
        <v>43</v>
      </c>
      <c r="T9" s="39" t="s">
        <v>131</v>
      </c>
      <c r="U9" s="50">
        <v>102328</v>
      </c>
      <c r="V9" s="39"/>
      <c r="W9" s="39">
        <v>11112</v>
      </c>
    </row>
    <row r="10" spans="1:23">
      <c r="A10" s="39">
        <v>2010</v>
      </c>
      <c r="B10" s="39" t="s">
        <v>102</v>
      </c>
      <c r="C10" s="39" t="s">
        <v>43</v>
      </c>
      <c r="D10" s="39" t="s">
        <v>131</v>
      </c>
      <c r="E10" s="39">
        <v>101021</v>
      </c>
      <c r="F10" s="39"/>
      <c r="G10" s="39">
        <v>11112</v>
      </c>
      <c r="Q10" s="40">
        <v>2010</v>
      </c>
      <c r="R10" s="40" t="s">
        <v>102</v>
      </c>
      <c r="S10" s="40" t="s">
        <v>43</v>
      </c>
      <c r="T10" s="40" t="s">
        <v>132</v>
      </c>
      <c r="U10" s="49">
        <v>89335</v>
      </c>
      <c r="V10" s="40"/>
      <c r="W10" s="40">
        <v>9379</v>
      </c>
    </row>
    <row r="11" spans="1:23">
      <c r="A11" s="40">
        <v>2010</v>
      </c>
      <c r="B11" s="40" t="s">
        <v>102</v>
      </c>
      <c r="C11" s="40" t="s">
        <v>43</v>
      </c>
      <c r="D11" s="40" t="s">
        <v>132</v>
      </c>
      <c r="E11" s="40">
        <v>85265</v>
      </c>
      <c r="F11" s="40"/>
      <c r="G11" s="40">
        <v>9379</v>
      </c>
      <c r="Q11" s="39">
        <v>2010</v>
      </c>
      <c r="R11" s="39" t="s">
        <v>102</v>
      </c>
      <c r="S11" s="39" t="s">
        <v>43</v>
      </c>
      <c r="T11" s="39" t="s">
        <v>117</v>
      </c>
      <c r="U11" s="50">
        <v>73409</v>
      </c>
      <c r="V11" s="39"/>
      <c r="W11" s="39">
        <v>8540</v>
      </c>
    </row>
    <row r="12" spans="1:23">
      <c r="A12" s="39">
        <v>2010</v>
      </c>
      <c r="B12" s="39" t="s">
        <v>102</v>
      </c>
      <c r="C12" s="39" t="s">
        <v>43</v>
      </c>
      <c r="D12" s="39" t="s">
        <v>117</v>
      </c>
      <c r="E12" s="39">
        <v>77637</v>
      </c>
      <c r="F12" s="39"/>
      <c r="G12" s="39">
        <v>8540</v>
      </c>
      <c r="Q12" s="40">
        <v>2010</v>
      </c>
      <c r="R12" s="40" t="s">
        <v>102</v>
      </c>
      <c r="S12" s="40" t="s">
        <v>43</v>
      </c>
      <c r="T12" s="40" t="s">
        <v>133</v>
      </c>
      <c r="U12" s="49">
        <v>62533</v>
      </c>
      <c r="V12" s="40"/>
      <c r="W12" s="40">
        <v>6377</v>
      </c>
    </row>
    <row r="13" spans="1:23">
      <c r="A13" s="40">
        <v>2010</v>
      </c>
      <c r="B13" s="40" t="s">
        <v>102</v>
      </c>
      <c r="C13" s="40" t="s">
        <v>43</v>
      </c>
      <c r="D13" s="40" t="s">
        <v>133</v>
      </c>
      <c r="E13" s="40">
        <v>57977</v>
      </c>
      <c r="F13" s="40"/>
      <c r="G13" s="40">
        <v>6377</v>
      </c>
      <c r="Q13" s="39">
        <v>2010</v>
      </c>
      <c r="R13" s="39" t="s">
        <v>102</v>
      </c>
      <c r="S13" s="39" t="s">
        <v>43</v>
      </c>
      <c r="T13" s="39" t="s">
        <v>134</v>
      </c>
      <c r="U13" s="50">
        <v>53046</v>
      </c>
      <c r="V13" s="39"/>
      <c r="W13" s="39">
        <v>5559</v>
      </c>
    </row>
    <row r="14" spans="1:23">
      <c r="A14" s="39">
        <v>2010</v>
      </c>
      <c r="B14" s="39" t="s">
        <v>102</v>
      </c>
      <c r="C14" s="39" t="s">
        <v>43</v>
      </c>
      <c r="D14" s="39" t="s">
        <v>134</v>
      </c>
      <c r="E14" s="39">
        <v>50537</v>
      </c>
      <c r="F14" s="39"/>
      <c r="G14" s="39">
        <v>5559</v>
      </c>
      <c r="Q14" s="40">
        <v>2010</v>
      </c>
      <c r="R14" s="40" t="s">
        <v>102</v>
      </c>
      <c r="S14" s="40" t="s">
        <v>43</v>
      </c>
      <c r="T14" s="40" t="s">
        <v>135</v>
      </c>
      <c r="U14" s="49">
        <v>42732</v>
      </c>
      <c r="V14" s="40"/>
      <c r="W14" s="40">
        <v>3905</v>
      </c>
    </row>
    <row r="15" spans="1:23">
      <c r="A15" s="40">
        <v>2010</v>
      </c>
      <c r="B15" s="40" t="s">
        <v>102</v>
      </c>
      <c r="C15" s="40" t="s">
        <v>43</v>
      </c>
      <c r="D15" s="40" t="s">
        <v>135</v>
      </c>
      <c r="E15" s="40">
        <v>35507</v>
      </c>
      <c r="F15" s="40"/>
      <c r="G15" s="40">
        <v>3905</v>
      </c>
      <c r="Q15" s="39">
        <v>2010</v>
      </c>
      <c r="R15" s="39" t="s">
        <v>102</v>
      </c>
      <c r="S15" s="39" t="s">
        <v>43</v>
      </c>
      <c r="T15" s="39" t="s">
        <v>136</v>
      </c>
      <c r="U15" s="50">
        <v>31739</v>
      </c>
      <c r="V15" s="39"/>
      <c r="W15" s="39">
        <v>3238</v>
      </c>
    </row>
    <row r="16" spans="1:23">
      <c r="A16" s="39">
        <v>2010</v>
      </c>
      <c r="B16" s="39" t="s">
        <v>102</v>
      </c>
      <c r="C16" s="39" t="s">
        <v>43</v>
      </c>
      <c r="D16" s="39" t="s">
        <v>136</v>
      </c>
      <c r="E16" s="39">
        <v>29441</v>
      </c>
      <c r="F16" s="39"/>
      <c r="G16" s="39">
        <v>3238</v>
      </c>
      <c r="Q16" s="40">
        <v>2010</v>
      </c>
      <c r="R16" s="40" t="s">
        <v>102</v>
      </c>
      <c r="S16" s="40" t="s">
        <v>43</v>
      </c>
      <c r="T16" s="40" t="s">
        <v>137</v>
      </c>
      <c r="U16" s="49">
        <v>19721</v>
      </c>
      <c r="V16" s="40"/>
      <c r="W16" s="40">
        <v>2168</v>
      </c>
    </row>
    <row r="17" spans="1:23">
      <c r="A17" s="40">
        <v>2010</v>
      </c>
      <c r="B17" s="40" t="s">
        <v>102</v>
      </c>
      <c r="C17" s="40" t="s">
        <v>43</v>
      </c>
      <c r="D17" s="40" t="s">
        <v>137</v>
      </c>
      <c r="E17" s="40">
        <v>19716</v>
      </c>
      <c r="F17" s="40"/>
      <c r="G17" s="40">
        <v>2168</v>
      </c>
      <c r="Q17" s="39">
        <v>2010</v>
      </c>
      <c r="R17" s="39" t="s">
        <v>102</v>
      </c>
      <c r="S17" s="39" t="s">
        <v>43</v>
      </c>
      <c r="T17" s="39" t="s">
        <v>138</v>
      </c>
      <c r="U17" s="50">
        <v>20263</v>
      </c>
      <c r="V17" s="39"/>
      <c r="W17" s="39">
        <v>1980</v>
      </c>
    </row>
    <row r="18" spans="1:23">
      <c r="A18" s="39">
        <v>2010</v>
      </c>
      <c r="B18" s="39" t="s">
        <v>102</v>
      </c>
      <c r="C18" s="39" t="s">
        <v>43</v>
      </c>
      <c r="D18" s="39" t="s">
        <v>138</v>
      </c>
      <c r="E18" s="39">
        <v>18008</v>
      </c>
      <c r="F18" s="39"/>
      <c r="G18" s="39">
        <v>1980</v>
      </c>
      <c r="Q18" s="40">
        <v>2010</v>
      </c>
      <c r="R18" s="40" t="s">
        <v>102</v>
      </c>
      <c r="S18" s="40" t="s">
        <v>43</v>
      </c>
      <c r="T18" s="40" t="s">
        <v>139</v>
      </c>
      <c r="U18" s="49">
        <v>15991</v>
      </c>
      <c r="V18" s="40"/>
      <c r="W18" s="40">
        <v>1421</v>
      </c>
    </row>
    <row r="19" spans="1:23">
      <c r="A19" s="40">
        <v>2010</v>
      </c>
      <c r="B19" s="40" t="s">
        <v>102</v>
      </c>
      <c r="C19" s="40" t="s">
        <v>43</v>
      </c>
      <c r="D19" s="40" t="s">
        <v>139</v>
      </c>
      <c r="E19" s="40">
        <v>12924</v>
      </c>
      <c r="F19" s="40"/>
      <c r="G19" s="40">
        <v>1421</v>
      </c>
      <c r="Q19" s="39">
        <v>2010</v>
      </c>
      <c r="R19" s="39" t="s">
        <v>102</v>
      </c>
      <c r="S19" s="39" t="s">
        <v>43</v>
      </c>
      <c r="T19" s="39" t="s">
        <v>140</v>
      </c>
      <c r="U19" s="50">
        <v>12587</v>
      </c>
      <c r="V19" s="39"/>
      <c r="W19" s="39">
        <v>1071</v>
      </c>
    </row>
    <row r="20" spans="1:23">
      <c r="A20" s="39">
        <v>2010</v>
      </c>
      <c r="B20" s="39" t="s">
        <v>102</v>
      </c>
      <c r="C20" s="39" t="s">
        <v>43</v>
      </c>
      <c r="D20" s="39" t="s">
        <v>140</v>
      </c>
      <c r="E20" s="39">
        <v>9741</v>
      </c>
      <c r="F20" s="39"/>
      <c r="G20" s="39">
        <v>1071</v>
      </c>
      <c r="Q20" s="40">
        <v>2010</v>
      </c>
      <c r="R20" s="40" t="s">
        <v>102</v>
      </c>
      <c r="S20" s="40" t="s">
        <v>43</v>
      </c>
      <c r="T20" s="40" t="s">
        <v>141</v>
      </c>
      <c r="U20" s="49">
        <v>9966</v>
      </c>
      <c r="V20" s="40"/>
      <c r="W20" s="40">
        <v>942</v>
      </c>
    </row>
    <row r="21" spans="1:23">
      <c r="A21" s="40">
        <v>2010</v>
      </c>
      <c r="B21" s="40" t="s">
        <v>102</v>
      </c>
      <c r="C21" s="40" t="s">
        <v>43</v>
      </c>
      <c r="D21" s="40" t="s">
        <v>141</v>
      </c>
      <c r="E21" s="40">
        <v>8572</v>
      </c>
      <c r="F21" s="40"/>
      <c r="G21" s="40">
        <v>942</v>
      </c>
      <c r="Q21" s="39">
        <v>2010</v>
      </c>
      <c r="R21" s="39" t="s">
        <v>102</v>
      </c>
      <c r="S21" s="39" t="s">
        <v>43</v>
      </c>
      <c r="T21" s="39" t="s">
        <v>142</v>
      </c>
      <c r="U21" s="50">
        <v>7152</v>
      </c>
      <c r="V21" s="39"/>
      <c r="W21" s="39">
        <v>810</v>
      </c>
    </row>
    <row r="22" spans="1:23">
      <c r="A22" s="39">
        <v>2010</v>
      </c>
      <c r="B22" s="39" t="s">
        <v>102</v>
      </c>
      <c r="C22" s="39" t="s">
        <v>43</v>
      </c>
      <c r="D22" s="39" t="s">
        <v>142</v>
      </c>
      <c r="E22" s="39">
        <v>6238</v>
      </c>
      <c r="F22" s="39"/>
      <c r="G22" s="39">
        <v>810</v>
      </c>
      <c r="Q22" s="40">
        <v>2010</v>
      </c>
      <c r="R22" s="40" t="s">
        <v>102</v>
      </c>
      <c r="S22" s="40" t="s">
        <v>43</v>
      </c>
      <c r="T22" s="40" t="s">
        <v>143</v>
      </c>
      <c r="U22" s="49">
        <v>5114</v>
      </c>
      <c r="V22" s="40"/>
      <c r="W22" s="40">
        <v>570</v>
      </c>
    </row>
    <row r="23" spans="1:23">
      <c r="A23" s="40">
        <v>2010</v>
      </c>
      <c r="B23" s="40" t="s">
        <v>102</v>
      </c>
      <c r="C23" s="40" t="s">
        <v>43</v>
      </c>
      <c r="D23" s="40" t="s">
        <v>143</v>
      </c>
      <c r="E23" s="40">
        <v>4386</v>
      </c>
      <c r="F23" s="40"/>
      <c r="G23" s="40">
        <v>570</v>
      </c>
      <c r="Q23" s="39">
        <v>2010</v>
      </c>
      <c r="R23" s="39" t="s">
        <v>102</v>
      </c>
      <c r="S23" s="39" t="s">
        <v>43</v>
      </c>
      <c r="T23" s="39" t="s">
        <v>144</v>
      </c>
      <c r="U23" s="50">
        <v>3290</v>
      </c>
      <c r="V23" s="39"/>
      <c r="W23" s="39">
        <v>387</v>
      </c>
    </row>
    <row r="24" spans="1:23">
      <c r="A24" s="39">
        <v>2010</v>
      </c>
      <c r="B24" s="39" t="s">
        <v>102</v>
      </c>
      <c r="C24" s="39" t="s">
        <v>43</v>
      </c>
      <c r="D24" s="39" t="s">
        <v>144</v>
      </c>
      <c r="E24" s="39">
        <v>2982</v>
      </c>
      <c r="F24" s="39"/>
      <c r="G24" s="39">
        <v>387</v>
      </c>
      <c r="Q24" s="40">
        <v>2010</v>
      </c>
      <c r="R24" s="40" t="s">
        <v>102</v>
      </c>
      <c r="S24" s="40" t="s">
        <v>43</v>
      </c>
      <c r="T24" s="40" t="s">
        <v>148</v>
      </c>
      <c r="U24" s="49">
        <v>2490</v>
      </c>
      <c r="V24" s="40"/>
      <c r="W24" s="40">
        <v>148</v>
      </c>
    </row>
    <row r="25" spans="1:23">
      <c r="A25" s="40">
        <v>2010</v>
      </c>
      <c r="B25" s="40" t="s">
        <v>102</v>
      </c>
      <c r="C25" s="40" t="s">
        <v>43</v>
      </c>
      <c r="D25" s="40" t="s">
        <v>145</v>
      </c>
      <c r="E25" s="40">
        <v>1146</v>
      </c>
      <c r="F25" s="40"/>
      <c r="G25" s="40">
        <v>148</v>
      </c>
      <c r="Q25" s="39"/>
      <c r="R25" s="39"/>
      <c r="S25" s="39"/>
      <c r="T25" s="39"/>
      <c r="U25" s="39"/>
      <c r="V25" s="39"/>
      <c r="W25" s="39"/>
    </row>
    <row r="26" spans="1:23">
      <c r="A26" s="39">
        <v>2010</v>
      </c>
      <c r="B26" s="39" t="s">
        <v>102</v>
      </c>
      <c r="C26" s="39" t="s">
        <v>43</v>
      </c>
      <c r="D26" s="39" t="s">
        <v>146</v>
      </c>
      <c r="E26" s="39">
        <v>779</v>
      </c>
      <c r="F26" s="39"/>
      <c r="G26" s="39">
        <v>101</v>
      </c>
      <c r="Q26" s="40"/>
      <c r="R26" s="40"/>
      <c r="S26" s="40"/>
      <c r="T26" s="40"/>
      <c r="U26" s="40"/>
      <c r="V26" s="40"/>
      <c r="W26" s="40"/>
    </row>
    <row r="27" spans="1:23">
      <c r="A27" s="40">
        <v>2010</v>
      </c>
      <c r="B27" s="40" t="s">
        <v>102</v>
      </c>
      <c r="C27" s="40" t="s">
        <v>43</v>
      </c>
      <c r="D27" s="40" t="s">
        <v>147</v>
      </c>
      <c r="E27" s="40">
        <v>635</v>
      </c>
      <c r="F27" s="40"/>
      <c r="G27" s="40">
        <v>82</v>
      </c>
      <c r="Q27" s="39"/>
      <c r="R27" s="39"/>
      <c r="S27" s="39"/>
      <c r="T27" s="39"/>
      <c r="U27" s="39"/>
      <c r="V27" s="39"/>
      <c r="W27" s="39"/>
    </row>
    <row r="28" spans="1:23">
      <c r="A28" s="39"/>
      <c r="B28" s="39"/>
      <c r="C28" s="39"/>
      <c r="D28" s="39"/>
      <c r="E28" s="39"/>
      <c r="F28" s="39"/>
      <c r="G28" s="39"/>
      <c r="Q28" s="40">
        <v>2010</v>
      </c>
      <c r="R28" s="40" t="s">
        <v>103</v>
      </c>
      <c r="S28" s="40" t="s">
        <v>43</v>
      </c>
      <c r="T28" s="40" t="s">
        <v>130</v>
      </c>
      <c r="U28" s="40">
        <v>172279</v>
      </c>
      <c r="V28" s="40"/>
      <c r="W28" s="40">
        <v>22396</v>
      </c>
    </row>
    <row r="29" spans="1:23">
      <c r="A29" s="40">
        <v>2010</v>
      </c>
      <c r="B29" s="40" t="s">
        <v>103</v>
      </c>
      <c r="C29" s="40" t="s">
        <v>43</v>
      </c>
      <c r="D29" s="40" t="s">
        <v>130</v>
      </c>
      <c r="E29" s="40">
        <v>172279</v>
      </c>
      <c r="F29" s="40"/>
      <c r="G29" s="40">
        <v>22396</v>
      </c>
      <c r="Q29" s="39">
        <v>2010</v>
      </c>
      <c r="R29" s="39" t="s">
        <v>103</v>
      </c>
      <c r="S29" s="39" t="s">
        <v>43</v>
      </c>
      <c r="T29" s="39" t="s">
        <v>131</v>
      </c>
      <c r="U29" s="39">
        <v>132610</v>
      </c>
      <c r="V29" s="39"/>
      <c r="W29" s="39">
        <v>14587</v>
      </c>
    </row>
    <row r="30" spans="1:23">
      <c r="A30" s="39">
        <v>2010</v>
      </c>
      <c r="B30" s="39" t="s">
        <v>103</v>
      </c>
      <c r="C30" s="39" t="s">
        <v>43</v>
      </c>
      <c r="D30" s="39" t="s">
        <v>131</v>
      </c>
      <c r="E30" s="39">
        <v>132610</v>
      </c>
      <c r="F30" s="39"/>
      <c r="G30" s="39">
        <v>14587</v>
      </c>
      <c r="Q30" s="40">
        <v>2010</v>
      </c>
      <c r="R30" s="40" t="s">
        <v>103</v>
      </c>
      <c r="S30" s="40" t="s">
        <v>43</v>
      </c>
      <c r="T30" s="40" t="s">
        <v>132</v>
      </c>
      <c r="U30" s="40">
        <v>130723</v>
      </c>
      <c r="V30" s="40"/>
      <c r="W30" s="40">
        <v>14379</v>
      </c>
    </row>
    <row r="31" spans="1:23">
      <c r="A31" s="40">
        <v>2010</v>
      </c>
      <c r="B31" s="40" t="s">
        <v>103</v>
      </c>
      <c r="C31" s="40" t="s">
        <v>43</v>
      </c>
      <c r="D31" s="40" t="s">
        <v>132</v>
      </c>
      <c r="E31" s="40">
        <v>130723</v>
      </c>
      <c r="F31" s="40"/>
      <c r="G31" s="40">
        <v>14379</v>
      </c>
      <c r="Q31" s="39">
        <v>2010</v>
      </c>
      <c r="R31" s="39" t="s">
        <v>103</v>
      </c>
      <c r="S31" s="39" t="s">
        <v>43</v>
      </c>
      <c r="T31" s="39" t="s">
        <v>117</v>
      </c>
      <c r="U31" s="39">
        <v>128394</v>
      </c>
      <c r="V31" s="39"/>
      <c r="W31" s="39">
        <v>14123</v>
      </c>
    </row>
    <row r="32" spans="1:23">
      <c r="A32" s="39">
        <v>2010</v>
      </c>
      <c r="B32" s="39" t="s">
        <v>103</v>
      </c>
      <c r="C32" s="39" t="s">
        <v>43</v>
      </c>
      <c r="D32" s="39" t="s">
        <v>117</v>
      </c>
      <c r="E32" s="39">
        <v>128394</v>
      </c>
      <c r="F32" s="39"/>
      <c r="G32" s="39">
        <v>14123</v>
      </c>
      <c r="Q32" s="40">
        <v>2010</v>
      </c>
      <c r="R32" s="40" t="s">
        <v>103</v>
      </c>
      <c r="S32" s="40" t="s">
        <v>43</v>
      </c>
      <c r="T32" s="40" t="s">
        <v>133</v>
      </c>
      <c r="U32" s="40">
        <v>97201</v>
      </c>
      <c r="V32" s="40"/>
      <c r="W32" s="40">
        <v>10692</v>
      </c>
    </row>
    <row r="33" spans="1:23">
      <c r="A33" s="40">
        <v>2010</v>
      </c>
      <c r="B33" s="40" t="s">
        <v>103</v>
      </c>
      <c r="C33" s="40" t="s">
        <v>43</v>
      </c>
      <c r="D33" s="40" t="s">
        <v>133</v>
      </c>
      <c r="E33" s="40">
        <v>97201</v>
      </c>
      <c r="F33" s="40"/>
      <c r="G33" s="40">
        <v>10692</v>
      </c>
      <c r="Q33" s="39">
        <v>2010</v>
      </c>
      <c r="R33" s="39" t="s">
        <v>103</v>
      </c>
      <c r="S33" s="39" t="s">
        <v>43</v>
      </c>
      <c r="T33" s="39" t="s">
        <v>134</v>
      </c>
      <c r="U33" s="39">
        <v>87912</v>
      </c>
      <c r="V33" s="39"/>
      <c r="W33" s="39">
        <v>9670</v>
      </c>
    </row>
    <row r="34" spans="1:23">
      <c r="A34" s="39">
        <v>2010</v>
      </c>
      <c r="B34" s="39" t="s">
        <v>103</v>
      </c>
      <c r="C34" s="39" t="s">
        <v>43</v>
      </c>
      <c r="D34" s="39" t="s">
        <v>134</v>
      </c>
      <c r="E34" s="39">
        <v>87912</v>
      </c>
      <c r="F34" s="39"/>
      <c r="G34" s="39">
        <v>9670</v>
      </c>
      <c r="Q34" s="40">
        <v>2010</v>
      </c>
      <c r="R34" s="40" t="s">
        <v>103</v>
      </c>
      <c r="S34" s="40" t="s">
        <v>43</v>
      </c>
      <c r="T34" s="40" t="s">
        <v>135</v>
      </c>
      <c r="U34" s="40">
        <v>59515</v>
      </c>
      <c r="V34" s="40"/>
      <c r="W34" s="40">
        <v>6546</v>
      </c>
    </row>
    <row r="35" spans="1:23">
      <c r="A35" s="40">
        <v>2010</v>
      </c>
      <c r="B35" s="40" t="s">
        <v>103</v>
      </c>
      <c r="C35" s="40" t="s">
        <v>43</v>
      </c>
      <c r="D35" s="40" t="s">
        <v>135</v>
      </c>
      <c r="E35" s="40">
        <v>59515</v>
      </c>
      <c r="F35" s="40"/>
      <c r="G35" s="40">
        <v>6546</v>
      </c>
      <c r="Q35" s="39">
        <v>2010</v>
      </c>
      <c r="R35" s="39" t="s">
        <v>103</v>
      </c>
      <c r="S35" s="39" t="s">
        <v>43</v>
      </c>
      <c r="T35" s="39" t="s">
        <v>136</v>
      </c>
      <c r="U35" s="39">
        <v>48999</v>
      </c>
      <c r="V35" s="39"/>
      <c r="W35" s="39">
        <v>5389</v>
      </c>
    </row>
    <row r="36" spans="1:23">
      <c r="A36" s="39">
        <v>2010</v>
      </c>
      <c r="B36" s="39" t="s">
        <v>103</v>
      </c>
      <c r="C36" s="39" t="s">
        <v>43</v>
      </c>
      <c r="D36" s="39" t="s">
        <v>136</v>
      </c>
      <c r="E36" s="39">
        <v>48999</v>
      </c>
      <c r="F36" s="39"/>
      <c r="G36" s="39">
        <v>5389</v>
      </c>
      <c r="Q36" s="40">
        <v>2010</v>
      </c>
      <c r="R36" s="40" t="s">
        <v>103</v>
      </c>
      <c r="S36" s="40" t="s">
        <v>43</v>
      </c>
      <c r="T36" s="40" t="s">
        <v>137</v>
      </c>
      <c r="U36" s="40">
        <v>32469</v>
      </c>
      <c r="V36" s="40"/>
      <c r="W36" s="40">
        <v>3571</v>
      </c>
    </row>
    <row r="37" spans="1:23">
      <c r="A37" s="40">
        <v>2010</v>
      </c>
      <c r="B37" s="40" t="s">
        <v>103</v>
      </c>
      <c r="C37" s="40" t="s">
        <v>43</v>
      </c>
      <c r="D37" s="40" t="s">
        <v>137</v>
      </c>
      <c r="E37" s="40">
        <v>32469</v>
      </c>
      <c r="F37" s="40"/>
      <c r="G37" s="40">
        <v>3571</v>
      </c>
      <c r="Q37" s="39">
        <v>2010</v>
      </c>
      <c r="R37" s="39" t="s">
        <v>103</v>
      </c>
      <c r="S37" s="39" t="s">
        <v>43</v>
      </c>
      <c r="T37" s="39" t="s">
        <v>138</v>
      </c>
      <c r="U37" s="39">
        <v>30682</v>
      </c>
      <c r="V37" s="39"/>
      <c r="W37" s="39">
        <v>3375</v>
      </c>
    </row>
    <row r="38" spans="1:23">
      <c r="A38" s="39">
        <v>2010</v>
      </c>
      <c r="B38" s="39" t="s">
        <v>103</v>
      </c>
      <c r="C38" s="39" t="s">
        <v>43</v>
      </c>
      <c r="D38" s="39" t="s">
        <v>138</v>
      </c>
      <c r="E38" s="39">
        <v>30682</v>
      </c>
      <c r="F38" s="39"/>
      <c r="G38" s="39">
        <v>3375</v>
      </c>
      <c r="Q38" s="40">
        <v>2010</v>
      </c>
      <c r="R38" s="40" t="s">
        <v>103</v>
      </c>
      <c r="S38" s="40" t="s">
        <v>43</v>
      </c>
      <c r="T38" s="40" t="s">
        <v>139</v>
      </c>
      <c r="U38" s="40">
        <v>22104</v>
      </c>
      <c r="V38" s="40"/>
      <c r="W38" s="40">
        <v>2431</v>
      </c>
    </row>
    <row r="39" spans="1:23">
      <c r="A39" s="40">
        <v>2010</v>
      </c>
      <c r="B39" s="40" t="s">
        <v>103</v>
      </c>
      <c r="C39" s="40" t="s">
        <v>43</v>
      </c>
      <c r="D39" s="40" t="s">
        <v>139</v>
      </c>
      <c r="E39" s="40">
        <v>22104</v>
      </c>
      <c r="F39" s="40"/>
      <c r="G39" s="40">
        <v>2431</v>
      </c>
      <c r="Q39" s="39">
        <v>2010</v>
      </c>
      <c r="R39" s="39" t="s">
        <v>103</v>
      </c>
      <c r="S39" s="39" t="s">
        <v>43</v>
      </c>
      <c r="T39" s="39" t="s">
        <v>140</v>
      </c>
      <c r="U39" s="39">
        <v>16012</v>
      </c>
      <c r="V39" s="39"/>
      <c r="W39" s="39">
        <v>1761</v>
      </c>
    </row>
    <row r="40" spans="1:23">
      <c r="A40" s="39">
        <v>2010</v>
      </c>
      <c r="B40" s="39" t="s">
        <v>103</v>
      </c>
      <c r="C40" s="39" t="s">
        <v>43</v>
      </c>
      <c r="D40" s="39" t="s">
        <v>140</v>
      </c>
      <c r="E40" s="39">
        <v>16012</v>
      </c>
      <c r="F40" s="39"/>
      <c r="G40" s="39">
        <v>1761</v>
      </c>
      <c r="Q40" s="40">
        <v>2010</v>
      </c>
      <c r="R40" s="40" t="s">
        <v>103</v>
      </c>
      <c r="S40" s="40" t="s">
        <v>43</v>
      </c>
      <c r="T40" s="40" t="s">
        <v>141</v>
      </c>
      <c r="U40" s="40">
        <v>11900</v>
      </c>
      <c r="V40" s="40"/>
      <c r="W40" s="40">
        <v>1309</v>
      </c>
    </row>
    <row r="41" spans="1:23">
      <c r="A41" s="40">
        <v>2010</v>
      </c>
      <c r="B41" s="40" t="s">
        <v>103</v>
      </c>
      <c r="C41" s="40" t="s">
        <v>43</v>
      </c>
      <c r="D41" s="40" t="s">
        <v>141</v>
      </c>
      <c r="E41" s="40">
        <v>11900</v>
      </c>
      <c r="F41" s="40"/>
      <c r="G41" s="40">
        <v>1309</v>
      </c>
      <c r="Q41" s="39">
        <v>2010</v>
      </c>
      <c r="R41" s="39" t="s">
        <v>103</v>
      </c>
      <c r="S41" s="39" t="s">
        <v>43</v>
      </c>
      <c r="T41" s="39" t="s">
        <v>142</v>
      </c>
      <c r="U41" s="39">
        <v>7997</v>
      </c>
      <c r="V41" s="39"/>
      <c r="W41" s="39">
        <v>1039</v>
      </c>
    </row>
    <row r="42" spans="1:23">
      <c r="A42" s="39">
        <v>2010</v>
      </c>
      <c r="B42" s="39" t="s">
        <v>103</v>
      </c>
      <c r="C42" s="39" t="s">
        <v>43</v>
      </c>
      <c r="D42" s="39" t="s">
        <v>142</v>
      </c>
      <c r="E42" s="39">
        <v>7997</v>
      </c>
      <c r="F42" s="39"/>
      <c r="G42" s="39">
        <v>1039</v>
      </c>
      <c r="Q42" s="40">
        <v>2010</v>
      </c>
      <c r="R42" s="40" t="s">
        <v>103</v>
      </c>
      <c r="S42" s="40" t="s">
        <v>43</v>
      </c>
      <c r="T42" s="40" t="s">
        <v>143</v>
      </c>
      <c r="U42" s="40">
        <v>5337</v>
      </c>
      <c r="V42" s="40"/>
      <c r="W42" s="40">
        <v>693</v>
      </c>
    </row>
    <row r="43" spans="1:23">
      <c r="A43" s="40">
        <v>2010</v>
      </c>
      <c r="B43" s="40" t="s">
        <v>103</v>
      </c>
      <c r="C43" s="40" t="s">
        <v>43</v>
      </c>
      <c r="D43" s="40" t="s">
        <v>143</v>
      </c>
      <c r="E43" s="40">
        <v>5337</v>
      </c>
      <c r="F43" s="40"/>
      <c r="G43" s="40">
        <v>693</v>
      </c>
      <c r="Q43" s="39">
        <v>2010</v>
      </c>
      <c r="R43" s="39" t="s">
        <v>103</v>
      </c>
      <c r="S43" s="39" t="s">
        <v>43</v>
      </c>
      <c r="T43" s="39" t="s">
        <v>144</v>
      </c>
      <c r="U43" s="39">
        <v>3415</v>
      </c>
      <c r="V43" s="39"/>
      <c r="W43" s="39">
        <v>443</v>
      </c>
    </row>
    <row r="44" spans="1:23">
      <c r="A44" s="39">
        <v>2010</v>
      </c>
      <c r="B44" s="39" t="s">
        <v>103</v>
      </c>
      <c r="C44" s="39" t="s">
        <v>43</v>
      </c>
      <c r="D44" s="39" t="s">
        <v>144</v>
      </c>
      <c r="E44" s="39">
        <v>3415</v>
      </c>
      <c r="F44" s="39"/>
      <c r="G44" s="39">
        <v>443</v>
      </c>
      <c r="Q44" s="40">
        <v>2010</v>
      </c>
      <c r="R44" s="40" t="s">
        <v>103</v>
      </c>
      <c r="S44" s="40" t="s">
        <v>43</v>
      </c>
      <c r="T44" s="40" t="s">
        <v>145</v>
      </c>
      <c r="U44" s="40">
        <v>1468</v>
      </c>
      <c r="V44" s="40"/>
      <c r="W44" s="40">
        <v>190</v>
      </c>
    </row>
    <row r="45" spans="1:23">
      <c r="A45" s="40">
        <v>2010</v>
      </c>
      <c r="B45" s="40" t="s">
        <v>103</v>
      </c>
      <c r="C45" s="40" t="s">
        <v>43</v>
      </c>
      <c r="D45" s="40" t="s">
        <v>145</v>
      </c>
      <c r="E45" s="40">
        <v>1468</v>
      </c>
      <c r="F45" s="40"/>
      <c r="G45" s="40">
        <v>190</v>
      </c>
      <c r="Q45" s="39">
        <v>2010</v>
      </c>
      <c r="R45" s="39" t="s">
        <v>103</v>
      </c>
      <c r="S45" s="39" t="s">
        <v>43</v>
      </c>
      <c r="T45" s="39" t="s">
        <v>146</v>
      </c>
      <c r="U45" s="39">
        <v>831</v>
      </c>
      <c r="V45" s="39"/>
      <c r="W45" s="39">
        <v>108</v>
      </c>
    </row>
    <row r="46" spans="1:23">
      <c r="A46" s="39">
        <v>2010</v>
      </c>
      <c r="B46" s="39" t="s">
        <v>103</v>
      </c>
      <c r="C46" s="39" t="s">
        <v>43</v>
      </c>
      <c r="D46" s="39" t="s">
        <v>146</v>
      </c>
      <c r="E46" s="39">
        <v>831</v>
      </c>
      <c r="F46" s="39"/>
      <c r="G46" s="39">
        <v>108</v>
      </c>
      <c r="Q46" s="40">
        <v>2010</v>
      </c>
      <c r="R46" s="40" t="s">
        <v>103</v>
      </c>
      <c r="S46" s="40" t="s">
        <v>43</v>
      </c>
      <c r="T46" s="40" t="s">
        <v>147</v>
      </c>
      <c r="U46" s="40">
        <v>582</v>
      </c>
      <c r="V46" s="40"/>
      <c r="W46" s="40">
        <v>75</v>
      </c>
    </row>
    <row r="47" spans="1:23">
      <c r="A47" s="40">
        <v>2010</v>
      </c>
      <c r="B47" s="40" t="s">
        <v>103</v>
      </c>
      <c r="C47" s="40" t="s">
        <v>43</v>
      </c>
      <c r="D47" s="40" t="s">
        <v>147</v>
      </c>
      <c r="E47" s="40">
        <v>582</v>
      </c>
      <c r="F47" s="40"/>
      <c r="G47" s="40">
        <v>75</v>
      </c>
      <c r="Q47" s="39"/>
      <c r="R47" s="39"/>
      <c r="S47" s="39"/>
      <c r="T47" s="39"/>
      <c r="U47" s="39"/>
      <c r="V47" s="39"/>
      <c r="W47" s="39"/>
    </row>
    <row r="48" spans="1:23">
      <c r="A48" s="39"/>
      <c r="B48" s="39"/>
      <c r="C48" s="39"/>
      <c r="D48" s="39"/>
      <c r="E48" s="39"/>
      <c r="F48" s="39"/>
      <c r="G48" s="39"/>
      <c r="Q48" s="40">
        <v>2010</v>
      </c>
      <c r="R48" s="40" t="s">
        <v>104</v>
      </c>
      <c r="S48" s="40" t="s">
        <v>43</v>
      </c>
      <c r="T48" s="40" t="s">
        <v>130</v>
      </c>
      <c r="U48" s="40">
        <v>170896</v>
      </c>
      <c r="V48" s="40"/>
      <c r="W48" s="40">
        <v>22216</v>
      </c>
    </row>
    <row r="49" spans="1:23">
      <c r="A49" s="40">
        <v>2010</v>
      </c>
      <c r="B49" s="40" t="s">
        <v>104</v>
      </c>
      <c r="C49" s="40" t="s">
        <v>43</v>
      </c>
      <c r="D49" s="40" t="s">
        <v>130</v>
      </c>
      <c r="E49" s="40">
        <v>170896</v>
      </c>
      <c r="F49" s="40"/>
      <c r="G49" s="40">
        <v>22216</v>
      </c>
      <c r="Q49" s="39">
        <v>2010</v>
      </c>
      <c r="R49" s="39" t="s">
        <v>104</v>
      </c>
      <c r="S49" s="39" t="s">
        <v>43</v>
      </c>
      <c r="T49" s="39" t="s">
        <v>131</v>
      </c>
      <c r="U49" s="39">
        <v>126259</v>
      </c>
      <c r="V49" s="39"/>
      <c r="W49" s="39">
        <v>13888</v>
      </c>
    </row>
    <row r="50" spans="1:23">
      <c r="A50" s="39">
        <v>2010</v>
      </c>
      <c r="B50" s="39" t="s">
        <v>104</v>
      </c>
      <c r="C50" s="39" t="s">
        <v>43</v>
      </c>
      <c r="D50" s="39" t="s">
        <v>131</v>
      </c>
      <c r="E50" s="39">
        <v>126259</v>
      </c>
      <c r="F50" s="39"/>
      <c r="G50" s="39">
        <v>13888</v>
      </c>
      <c r="Q50" s="40">
        <v>2010</v>
      </c>
      <c r="R50" s="40" t="s">
        <v>104</v>
      </c>
      <c r="S50" s="40" t="s">
        <v>43</v>
      </c>
      <c r="T50" s="40" t="s">
        <v>132</v>
      </c>
      <c r="U50" s="40">
        <v>99113</v>
      </c>
      <c r="V50" s="40"/>
      <c r="W50" s="40">
        <v>10902</v>
      </c>
    </row>
    <row r="51" spans="1:23">
      <c r="A51" s="40">
        <v>2010</v>
      </c>
      <c r="B51" s="40" t="s">
        <v>104</v>
      </c>
      <c r="C51" s="40" t="s">
        <v>43</v>
      </c>
      <c r="D51" s="40" t="s">
        <v>132</v>
      </c>
      <c r="E51" s="40">
        <v>99113</v>
      </c>
      <c r="F51" s="40"/>
      <c r="G51" s="40">
        <v>10902</v>
      </c>
      <c r="Q51" s="39">
        <v>2010</v>
      </c>
      <c r="R51" s="39" t="s">
        <v>104</v>
      </c>
      <c r="S51" s="39" t="s">
        <v>43</v>
      </c>
      <c r="T51" s="39" t="s">
        <v>117</v>
      </c>
      <c r="U51" s="39">
        <v>88048</v>
      </c>
      <c r="V51" s="39"/>
      <c r="W51" s="39">
        <v>9685</v>
      </c>
    </row>
    <row r="52" spans="1:23">
      <c r="A52" s="39">
        <v>2010</v>
      </c>
      <c r="B52" s="39" t="s">
        <v>104</v>
      </c>
      <c r="C52" s="39" t="s">
        <v>43</v>
      </c>
      <c r="D52" s="39" t="s">
        <v>117</v>
      </c>
      <c r="E52" s="39">
        <v>88048</v>
      </c>
      <c r="F52" s="39"/>
      <c r="G52" s="39">
        <v>9685</v>
      </c>
      <c r="Q52" s="40">
        <v>2010</v>
      </c>
      <c r="R52" s="40" t="s">
        <v>104</v>
      </c>
      <c r="S52" s="40" t="s">
        <v>43</v>
      </c>
      <c r="T52" s="40" t="s">
        <v>133</v>
      </c>
      <c r="U52" s="40">
        <v>69022</v>
      </c>
      <c r="V52" s="40"/>
      <c r="W52" s="40">
        <v>7592</v>
      </c>
    </row>
    <row r="53" spans="1:23">
      <c r="A53" s="40">
        <v>2010</v>
      </c>
      <c r="B53" s="40" t="s">
        <v>104</v>
      </c>
      <c r="C53" s="40" t="s">
        <v>43</v>
      </c>
      <c r="D53" s="40" t="s">
        <v>133</v>
      </c>
      <c r="E53" s="40">
        <v>69022</v>
      </c>
      <c r="F53" s="40"/>
      <c r="G53" s="40">
        <v>7592</v>
      </c>
      <c r="Q53" s="39">
        <v>2010</v>
      </c>
      <c r="R53" s="39" t="s">
        <v>104</v>
      </c>
      <c r="S53" s="39" t="s">
        <v>43</v>
      </c>
      <c r="T53" s="39" t="s">
        <v>134</v>
      </c>
      <c r="U53" s="39">
        <v>61632</v>
      </c>
      <c r="V53" s="39"/>
      <c r="W53" s="39">
        <v>6779</v>
      </c>
    </row>
    <row r="54" spans="1:23">
      <c r="A54" s="39">
        <v>2010</v>
      </c>
      <c r="B54" s="39" t="s">
        <v>104</v>
      </c>
      <c r="C54" s="39" t="s">
        <v>43</v>
      </c>
      <c r="D54" s="39" t="s">
        <v>134</v>
      </c>
      <c r="E54" s="39">
        <v>61632</v>
      </c>
      <c r="F54" s="39"/>
      <c r="G54" s="39">
        <v>6779</v>
      </c>
      <c r="Q54" s="40">
        <v>2010</v>
      </c>
      <c r="R54" s="40" t="s">
        <v>104</v>
      </c>
      <c r="S54" s="40" t="s">
        <v>43</v>
      </c>
      <c r="T54" s="40" t="s">
        <v>135</v>
      </c>
      <c r="U54" s="40">
        <v>41737</v>
      </c>
      <c r="V54" s="40"/>
      <c r="W54" s="40">
        <v>4591</v>
      </c>
    </row>
    <row r="55" spans="1:23">
      <c r="A55" s="40">
        <v>2010</v>
      </c>
      <c r="B55" s="40" t="s">
        <v>104</v>
      </c>
      <c r="C55" s="40" t="s">
        <v>43</v>
      </c>
      <c r="D55" s="40" t="s">
        <v>135</v>
      </c>
      <c r="E55" s="40">
        <v>41737</v>
      </c>
      <c r="F55" s="40"/>
      <c r="G55" s="40">
        <v>4591</v>
      </c>
      <c r="Q55" s="39">
        <v>2010</v>
      </c>
      <c r="R55" s="39" t="s">
        <v>104</v>
      </c>
      <c r="S55" s="39" t="s">
        <v>43</v>
      </c>
      <c r="T55" s="39" t="s">
        <v>136</v>
      </c>
      <c r="U55" s="39">
        <v>36735</v>
      </c>
      <c r="V55" s="39"/>
      <c r="W55" s="39">
        <v>4040</v>
      </c>
    </row>
    <row r="56" spans="1:23">
      <c r="A56" s="39">
        <v>2010</v>
      </c>
      <c r="B56" s="39" t="s">
        <v>104</v>
      </c>
      <c r="C56" s="39" t="s">
        <v>43</v>
      </c>
      <c r="D56" s="39" t="s">
        <v>136</v>
      </c>
      <c r="E56" s="39">
        <v>36735</v>
      </c>
      <c r="F56" s="39"/>
      <c r="G56" s="39">
        <v>4040</v>
      </c>
      <c r="Q56" s="40">
        <v>2010</v>
      </c>
      <c r="R56" s="40" t="s">
        <v>104</v>
      </c>
      <c r="S56" s="40" t="s">
        <v>43</v>
      </c>
      <c r="T56" s="40" t="s">
        <v>137</v>
      </c>
      <c r="U56" s="40">
        <v>23697</v>
      </c>
      <c r="V56" s="40"/>
      <c r="W56" s="40">
        <v>2606</v>
      </c>
    </row>
    <row r="57" spans="1:23">
      <c r="A57" s="40">
        <v>2010</v>
      </c>
      <c r="B57" s="40" t="s">
        <v>104</v>
      </c>
      <c r="C57" s="40" t="s">
        <v>43</v>
      </c>
      <c r="D57" s="40" t="s">
        <v>137</v>
      </c>
      <c r="E57" s="40">
        <v>23697</v>
      </c>
      <c r="F57" s="40"/>
      <c r="G57" s="40">
        <v>2606</v>
      </c>
      <c r="Q57" s="39">
        <v>2010</v>
      </c>
      <c r="R57" s="39" t="s">
        <v>104</v>
      </c>
      <c r="S57" s="39" t="s">
        <v>43</v>
      </c>
      <c r="T57" s="39" t="s">
        <v>138</v>
      </c>
      <c r="U57" s="39">
        <v>22829</v>
      </c>
      <c r="V57" s="39"/>
      <c r="W57" s="39">
        <v>2511</v>
      </c>
    </row>
    <row r="58" spans="1:23">
      <c r="A58" s="39">
        <v>2010</v>
      </c>
      <c r="B58" s="39" t="s">
        <v>104</v>
      </c>
      <c r="C58" s="39" t="s">
        <v>43</v>
      </c>
      <c r="D58" s="39" t="s">
        <v>138</v>
      </c>
      <c r="E58" s="39">
        <v>22829</v>
      </c>
      <c r="F58" s="39"/>
      <c r="G58" s="39">
        <v>2511</v>
      </c>
      <c r="Q58" s="40">
        <v>2010</v>
      </c>
      <c r="R58" s="40" t="s">
        <v>104</v>
      </c>
      <c r="S58" s="40" t="s">
        <v>43</v>
      </c>
      <c r="T58" s="40" t="s">
        <v>139</v>
      </c>
      <c r="U58" s="40">
        <v>15298</v>
      </c>
      <c r="V58" s="40"/>
      <c r="W58" s="40">
        <v>1682</v>
      </c>
    </row>
    <row r="59" spans="1:23">
      <c r="A59" s="40">
        <v>2010</v>
      </c>
      <c r="B59" s="40" t="s">
        <v>104</v>
      </c>
      <c r="C59" s="40" t="s">
        <v>43</v>
      </c>
      <c r="D59" s="40" t="s">
        <v>139</v>
      </c>
      <c r="E59" s="40">
        <v>15298</v>
      </c>
      <c r="F59" s="40"/>
      <c r="G59" s="40">
        <v>1682</v>
      </c>
      <c r="Q59" s="39">
        <v>2010</v>
      </c>
      <c r="R59" s="39" t="s">
        <v>104</v>
      </c>
      <c r="S59" s="39" t="s">
        <v>43</v>
      </c>
      <c r="T59" s="39" t="s">
        <v>140</v>
      </c>
      <c r="U59" s="39">
        <v>13551</v>
      </c>
      <c r="V59" s="39"/>
      <c r="W59" s="39">
        <v>1490</v>
      </c>
    </row>
    <row r="60" spans="1:23">
      <c r="A60" s="39">
        <v>2010</v>
      </c>
      <c r="B60" s="39" t="s">
        <v>104</v>
      </c>
      <c r="C60" s="39" t="s">
        <v>43</v>
      </c>
      <c r="D60" s="39" t="s">
        <v>140</v>
      </c>
      <c r="E60" s="39">
        <v>13551</v>
      </c>
      <c r="F60" s="39"/>
      <c r="G60" s="39">
        <v>1490</v>
      </c>
      <c r="Q60" s="40">
        <v>2010</v>
      </c>
      <c r="R60" s="40" t="s">
        <v>104</v>
      </c>
      <c r="S60" s="40" t="s">
        <v>43</v>
      </c>
      <c r="T60" s="40" t="s">
        <v>141</v>
      </c>
      <c r="U60" s="40">
        <v>12233</v>
      </c>
      <c r="V60" s="40"/>
      <c r="W60" s="40">
        <v>1345</v>
      </c>
    </row>
    <row r="61" spans="1:23">
      <c r="A61" s="40">
        <v>2010</v>
      </c>
      <c r="B61" s="40" t="s">
        <v>104</v>
      </c>
      <c r="C61" s="40" t="s">
        <v>43</v>
      </c>
      <c r="D61" s="40" t="s">
        <v>141</v>
      </c>
      <c r="E61" s="40">
        <v>12233</v>
      </c>
      <c r="F61" s="40"/>
      <c r="G61" s="40">
        <v>1345</v>
      </c>
      <c r="Q61" s="39">
        <v>2010</v>
      </c>
      <c r="R61" s="39" t="s">
        <v>104</v>
      </c>
      <c r="S61" s="39" t="s">
        <v>43</v>
      </c>
      <c r="T61" s="39" t="s">
        <v>142</v>
      </c>
      <c r="U61" s="39">
        <v>10276</v>
      </c>
      <c r="V61" s="39"/>
      <c r="W61" s="39">
        <v>1335</v>
      </c>
    </row>
    <row r="62" spans="1:23">
      <c r="A62" s="39">
        <v>2010</v>
      </c>
      <c r="B62" s="39" t="s">
        <v>104</v>
      </c>
      <c r="C62" s="39" t="s">
        <v>43</v>
      </c>
      <c r="D62" s="39" t="s">
        <v>142</v>
      </c>
      <c r="E62" s="39">
        <v>10276</v>
      </c>
      <c r="F62" s="39"/>
      <c r="G62" s="39">
        <v>1335</v>
      </c>
      <c r="Q62" s="40">
        <v>2010</v>
      </c>
      <c r="R62" s="40" t="s">
        <v>104</v>
      </c>
      <c r="S62" s="40" t="s">
        <v>43</v>
      </c>
      <c r="T62" s="40" t="s">
        <v>143</v>
      </c>
      <c r="U62" s="40">
        <v>6940</v>
      </c>
      <c r="V62" s="40"/>
      <c r="W62" s="40">
        <v>902</v>
      </c>
    </row>
    <row r="63" spans="1:23">
      <c r="A63" s="40">
        <v>2010</v>
      </c>
      <c r="B63" s="40" t="s">
        <v>104</v>
      </c>
      <c r="C63" s="40" t="s">
        <v>43</v>
      </c>
      <c r="D63" s="40" t="s">
        <v>143</v>
      </c>
      <c r="E63" s="40">
        <v>6940</v>
      </c>
      <c r="F63" s="40"/>
      <c r="G63" s="40">
        <v>902</v>
      </c>
      <c r="Q63" s="39">
        <v>2010</v>
      </c>
      <c r="R63" s="39" t="s">
        <v>104</v>
      </c>
      <c r="S63" s="39" t="s">
        <v>43</v>
      </c>
      <c r="T63" s="39" t="s">
        <v>144</v>
      </c>
      <c r="U63" s="39">
        <v>4764</v>
      </c>
      <c r="V63" s="39"/>
      <c r="W63" s="39">
        <v>619</v>
      </c>
    </row>
    <row r="64" spans="1:23">
      <c r="A64" s="39">
        <v>2010</v>
      </c>
      <c r="B64" s="39" t="s">
        <v>104</v>
      </c>
      <c r="C64" s="39" t="s">
        <v>43</v>
      </c>
      <c r="D64" s="39" t="s">
        <v>144</v>
      </c>
      <c r="E64" s="39">
        <v>4764</v>
      </c>
      <c r="F64" s="39"/>
      <c r="G64" s="39">
        <v>619</v>
      </c>
      <c r="Q64" s="40">
        <v>2010</v>
      </c>
      <c r="R64" s="40" t="s">
        <v>104</v>
      </c>
      <c r="S64" s="40" t="s">
        <v>43</v>
      </c>
      <c r="T64" s="40" t="s">
        <v>145</v>
      </c>
      <c r="U64" s="40">
        <v>2406</v>
      </c>
      <c r="V64" s="40"/>
      <c r="W64" s="40">
        <v>312</v>
      </c>
    </row>
    <row r="65" spans="1:23">
      <c r="A65" s="40">
        <v>2010</v>
      </c>
      <c r="B65" s="40" t="s">
        <v>104</v>
      </c>
      <c r="C65" s="40" t="s">
        <v>43</v>
      </c>
      <c r="D65" s="40" t="s">
        <v>145</v>
      </c>
      <c r="E65" s="40">
        <v>2406</v>
      </c>
      <c r="F65" s="40"/>
      <c r="G65" s="40">
        <v>312</v>
      </c>
      <c r="Q65" s="39">
        <v>2010</v>
      </c>
      <c r="R65" s="39" t="s">
        <v>104</v>
      </c>
      <c r="S65" s="39" t="s">
        <v>43</v>
      </c>
      <c r="T65" s="39" t="s">
        <v>146</v>
      </c>
      <c r="U65" s="39">
        <v>1372</v>
      </c>
      <c r="V65" s="39"/>
      <c r="W65" s="39">
        <v>178</v>
      </c>
    </row>
    <row r="66" spans="1:23">
      <c r="A66" s="39">
        <v>2010</v>
      </c>
      <c r="B66" s="39" t="s">
        <v>104</v>
      </c>
      <c r="C66" s="39" t="s">
        <v>43</v>
      </c>
      <c r="D66" s="39" t="s">
        <v>146</v>
      </c>
      <c r="E66" s="39">
        <v>1372</v>
      </c>
      <c r="F66" s="39"/>
      <c r="G66" s="39">
        <v>178</v>
      </c>
      <c r="Q66" s="40">
        <v>2010</v>
      </c>
      <c r="R66" s="40" t="s">
        <v>104</v>
      </c>
      <c r="S66" s="40" t="s">
        <v>43</v>
      </c>
      <c r="T66" s="40" t="s">
        <v>147</v>
      </c>
      <c r="U66" s="40">
        <v>1173</v>
      </c>
      <c r="V66" s="40"/>
      <c r="W66" s="40">
        <v>152</v>
      </c>
    </row>
    <row r="67" spans="1:23">
      <c r="A67" s="40">
        <v>2010</v>
      </c>
      <c r="B67" s="40" t="s">
        <v>104</v>
      </c>
      <c r="C67" s="40" t="s">
        <v>43</v>
      </c>
      <c r="D67" s="40" t="s">
        <v>147</v>
      </c>
      <c r="E67" s="40">
        <v>1173</v>
      </c>
      <c r="F67" s="40"/>
      <c r="G67" s="40">
        <v>152</v>
      </c>
      <c r="Q67" s="39"/>
      <c r="R67" s="39"/>
      <c r="S67" s="39"/>
      <c r="T67" s="39"/>
      <c r="U67" s="39"/>
      <c r="V67" s="39"/>
      <c r="W67" s="39"/>
    </row>
    <row r="68" spans="1:23">
      <c r="A68" s="39"/>
      <c r="B68" s="39"/>
      <c r="C68" s="39"/>
      <c r="D68" s="39"/>
      <c r="E68" s="39"/>
      <c r="F68" s="39"/>
      <c r="G68" s="39"/>
      <c r="Q68" s="40">
        <v>2010</v>
      </c>
      <c r="R68" s="40" t="s">
        <v>105</v>
      </c>
      <c r="S68" s="40" t="s">
        <v>43</v>
      </c>
      <c r="T68" s="40" t="s">
        <v>130</v>
      </c>
      <c r="U68" s="40">
        <v>108626</v>
      </c>
      <c r="V68" s="40"/>
      <c r="W68" s="40">
        <v>14121</v>
      </c>
    </row>
    <row r="69" spans="1:23">
      <c r="A69" s="40">
        <v>2010</v>
      </c>
      <c r="B69" s="40" t="s">
        <v>105</v>
      </c>
      <c r="C69" s="40" t="s">
        <v>43</v>
      </c>
      <c r="D69" s="40" t="s">
        <v>130</v>
      </c>
      <c r="E69" s="40">
        <v>108626</v>
      </c>
      <c r="F69" s="40"/>
      <c r="G69" s="40">
        <v>14121</v>
      </c>
      <c r="Q69" s="39">
        <v>2010</v>
      </c>
      <c r="R69" s="39" t="s">
        <v>105</v>
      </c>
      <c r="S69" s="39" t="s">
        <v>43</v>
      </c>
      <c r="T69" s="39" t="s">
        <v>131</v>
      </c>
      <c r="U69" s="39">
        <v>80315</v>
      </c>
      <c r="V69" s="39"/>
      <c r="W69" s="39">
        <v>8834</v>
      </c>
    </row>
    <row r="70" spans="1:23">
      <c r="A70" s="39">
        <v>2010</v>
      </c>
      <c r="B70" s="39" t="s">
        <v>105</v>
      </c>
      <c r="C70" s="39" t="s">
        <v>43</v>
      </c>
      <c r="D70" s="39" t="s">
        <v>131</v>
      </c>
      <c r="E70" s="39">
        <v>80315</v>
      </c>
      <c r="F70" s="39"/>
      <c r="G70" s="39">
        <v>8834</v>
      </c>
      <c r="Q70" s="40">
        <v>2010</v>
      </c>
      <c r="R70" s="40" t="s">
        <v>105</v>
      </c>
      <c r="S70" s="40" t="s">
        <v>43</v>
      </c>
      <c r="T70" s="40" t="s">
        <v>132</v>
      </c>
      <c r="U70" s="40">
        <v>59996</v>
      </c>
      <c r="V70" s="40"/>
      <c r="W70" s="40">
        <v>6599</v>
      </c>
    </row>
    <row r="71" spans="1:23">
      <c r="A71" s="40">
        <v>2010</v>
      </c>
      <c r="B71" s="40" t="s">
        <v>105</v>
      </c>
      <c r="C71" s="40" t="s">
        <v>43</v>
      </c>
      <c r="D71" s="40" t="s">
        <v>132</v>
      </c>
      <c r="E71" s="40">
        <v>59996</v>
      </c>
      <c r="F71" s="40"/>
      <c r="G71" s="40">
        <v>6599</v>
      </c>
      <c r="Q71" s="39">
        <v>2010</v>
      </c>
      <c r="R71" s="39" t="s">
        <v>105</v>
      </c>
      <c r="S71" s="39" t="s">
        <v>43</v>
      </c>
      <c r="T71" s="39" t="s">
        <v>117</v>
      </c>
      <c r="U71" s="39">
        <v>55569</v>
      </c>
      <c r="V71" s="39"/>
      <c r="W71" s="39">
        <v>6112</v>
      </c>
    </row>
    <row r="72" spans="1:23">
      <c r="A72" s="39">
        <v>2010</v>
      </c>
      <c r="B72" s="39" t="s">
        <v>105</v>
      </c>
      <c r="C72" s="39" t="s">
        <v>43</v>
      </c>
      <c r="D72" s="39" t="s">
        <v>117</v>
      </c>
      <c r="E72" s="39">
        <v>55569</v>
      </c>
      <c r="F72" s="39"/>
      <c r="G72" s="39">
        <v>6112</v>
      </c>
      <c r="Q72" s="40">
        <v>2010</v>
      </c>
      <c r="R72" s="40" t="s">
        <v>105</v>
      </c>
      <c r="S72" s="40" t="s">
        <v>43</v>
      </c>
      <c r="T72" s="40" t="s">
        <v>133</v>
      </c>
      <c r="U72" s="40">
        <v>41696</v>
      </c>
      <c r="V72" s="40"/>
      <c r="W72" s="40">
        <v>4586</v>
      </c>
    </row>
    <row r="73" spans="1:23">
      <c r="A73" s="40">
        <v>2010</v>
      </c>
      <c r="B73" s="40" t="s">
        <v>105</v>
      </c>
      <c r="C73" s="40" t="s">
        <v>43</v>
      </c>
      <c r="D73" s="40" t="s">
        <v>133</v>
      </c>
      <c r="E73" s="40">
        <v>41696</v>
      </c>
      <c r="F73" s="40"/>
      <c r="G73" s="40">
        <v>4586</v>
      </c>
      <c r="Q73" s="39">
        <v>2010</v>
      </c>
      <c r="R73" s="39" t="s">
        <v>105</v>
      </c>
      <c r="S73" s="39" t="s">
        <v>43</v>
      </c>
      <c r="T73" s="39" t="s">
        <v>134</v>
      </c>
      <c r="U73" s="39">
        <v>39633</v>
      </c>
      <c r="V73" s="39"/>
      <c r="W73" s="39">
        <v>4359</v>
      </c>
    </row>
    <row r="74" spans="1:23">
      <c r="A74" s="39">
        <v>2010</v>
      </c>
      <c r="B74" s="39" t="s">
        <v>105</v>
      </c>
      <c r="C74" s="39" t="s">
        <v>43</v>
      </c>
      <c r="D74" s="39" t="s">
        <v>134</v>
      </c>
      <c r="E74" s="39">
        <v>39633</v>
      </c>
      <c r="F74" s="39"/>
      <c r="G74" s="39">
        <v>4359</v>
      </c>
      <c r="Q74" s="40">
        <v>2010</v>
      </c>
      <c r="R74" s="40" t="s">
        <v>105</v>
      </c>
      <c r="S74" s="40" t="s">
        <v>43</v>
      </c>
      <c r="T74" s="40" t="s">
        <v>135</v>
      </c>
      <c r="U74" s="40">
        <v>26525</v>
      </c>
      <c r="V74" s="40"/>
      <c r="W74" s="40">
        <v>2917</v>
      </c>
    </row>
    <row r="75" spans="1:23">
      <c r="A75" s="40">
        <v>2010</v>
      </c>
      <c r="B75" s="40" t="s">
        <v>105</v>
      </c>
      <c r="C75" s="40" t="s">
        <v>43</v>
      </c>
      <c r="D75" s="40" t="s">
        <v>135</v>
      </c>
      <c r="E75" s="40">
        <v>26525</v>
      </c>
      <c r="F75" s="40"/>
      <c r="G75" s="40">
        <v>2917</v>
      </c>
      <c r="Q75" s="39">
        <v>2010</v>
      </c>
      <c r="R75" s="39" t="s">
        <v>105</v>
      </c>
      <c r="S75" s="39" t="s">
        <v>43</v>
      </c>
      <c r="T75" s="39" t="s">
        <v>136</v>
      </c>
      <c r="U75" s="39">
        <v>23211</v>
      </c>
      <c r="V75" s="39"/>
      <c r="W75" s="39">
        <v>2553</v>
      </c>
    </row>
    <row r="76" spans="1:23">
      <c r="A76" s="39">
        <v>2010</v>
      </c>
      <c r="B76" s="39" t="s">
        <v>105</v>
      </c>
      <c r="C76" s="39" t="s">
        <v>43</v>
      </c>
      <c r="D76" s="39" t="s">
        <v>136</v>
      </c>
      <c r="E76" s="39">
        <v>23211</v>
      </c>
      <c r="F76" s="39"/>
      <c r="G76" s="39">
        <v>2553</v>
      </c>
      <c r="Q76" s="40">
        <v>2010</v>
      </c>
      <c r="R76" s="40" t="s">
        <v>105</v>
      </c>
      <c r="S76" s="40" t="s">
        <v>43</v>
      </c>
      <c r="T76" s="40" t="s">
        <v>137</v>
      </c>
      <c r="U76" s="40">
        <v>15804</v>
      </c>
      <c r="V76" s="40"/>
      <c r="W76" s="40">
        <v>1738</v>
      </c>
    </row>
    <row r="77" spans="1:23">
      <c r="A77" s="40">
        <v>2010</v>
      </c>
      <c r="B77" s="40" t="s">
        <v>105</v>
      </c>
      <c r="C77" s="40" t="s">
        <v>43</v>
      </c>
      <c r="D77" s="40" t="s">
        <v>137</v>
      </c>
      <c r="E77" s="40">
        <v>15804</v>
      </c>
      <c r="F77" s="40"/>
      <c r="G77" s="40">
        <v>1738</v>
      </c>
      <c r="Q77" s="39">
        <v>2010</v>
      </c>
      <c r="R77" s="39" t="s">
        <v>105</v>
      </c>
      <c r="S77" s="39" t="s">
        <v>43</v>
      </c>
      <c r="T77" s="39" t="s">
        <v>138</v>
      </c>
      <c r="U77" s="39">
        <v>14448</v>
      </c>
      <c r="V77" s="39"/>
      <c r="W77" s="39">
        <v>1589</v>
      </c>
    </row>
    <row r="78" spans="1:23">
      <c r="A78" s="39">
        <v>2010</v>
      </c>
      <c r="B78" s="39" t="s">
        <v>105</v>
      </c>
      <c r="C78" s="39" t="s">
        <v>43</v>
      </c>
      <c r="D78" s="39" t="s">
        <v>138</v>
      </c>
      <c r="E78" s="39">
        <v>14448</v>
      </c>
      <c r="F78" s="39"/>
      <c r="G78" s="39">
        <v>1589</v>
      </c>
      <c r="Q78" s="40">
        <v>2010</v>
      </c>
      <c r="R78" s="40" t="s">
        <v>105</v>
      </c>
      <c r="S78" s="40" t="s">
        <v>43</v>
      </c>
      <c r="T78" s="40" t="s">
        <v>139</v>
      </c>
      <c r="U78" s="40">
        <v>10075</v>
      </c>
      <c r="V78" s="40"/>
      <c r="W78" s="40">
        <v>1108</v>
      </c>
    </row>
    <row r="79" spans="1:23">
      <c r="A79" s="40">
        <v>2010</v>
      </c>
      <c r="B79" s="40" t="s">
        <v>105</v>
      </c>
      <c r="C79" s="40" t="s">
        <v>43</v>
      </c>
      <c r="D79" s="40" t="s">
        <v>139</v>
      </c>
      <c r="E79" s="40">
        <v>10075</v>
      </c>
      <c r="F79" s="40"/>
      <c r="G79" s="40">
        <v>1108</v>
      </c>
      <c r="Q79" s="39">
        <v>2010</v>
      </c>
      <c r="R79" s="39" t="s">
        <v>105</v>
      </c>
      <c r="S79" s="39" t="s">
        <v>43</v>
      </c>
      <c r="T79" s="39" t="s">
        <v>140</v>
      </c>
      <c r="U79" s="39">
        <v>8696</v>
      </c>
      <c r="V79" s="39"/>
      <c r="W79" s="39">
        <v>956</v>
      </c>
    </row>
    <row r="80" spans="1:23">
      <c r="A80" s="39">
        <v>2010</v>
      </c>
      <c r="B80" s="39" t="s">
        <v>105</v>
      </c>
      <c r="C80" s="39" t="s">
        <v>43</v>
      </c>
      <c r="D80" s="39" t="s">
        <v>140</v>
      </c>
      <c r="E80" s="39">
        <v>8696</v>
      </c>
      <c r="F80" s="39"/>
      <c r="G80" s="39">
        <v>956</v>
      </c>
      <c r="Q80" s="40">
        <v>2010</v>
      </c>
      <c r="R80" s="40" t="s">
        <v>105</v>
      </c>
      <c r="S80" s="40" t="s">
        <v>43</v>
      </c>
      <c r="T80" s="40" t="s">
        <v>141</v>
      </c>
      <c r="U80" s="40">
        <v>6980</v>
      </c>
      <c r="V80" s="40"/>
      <c r="W80" s="40">
        <v>767</v>
      </c>
    </row>
    <row r="81" spans="1:23">
      <c r="A81" s="40">
        <v>2010</v>
      </c>
      <c r="B81" s="40" t="s">
        <v>105</v>
      </c>
      <c r="C81" s="40" t="s">
        <v>43</v>
      </c>
      <c r="D81" s="40" t="s">
        <v>141</v>
      </c>
      <c r="E81" s="40">
        <v>6980</v>
      </c>
      <c r="F81" s="40"/>
      <c r="G81" s="40">
        <v>767</v>
      </c>
      <c r="Q81" s="39">
        <v>2010</v>
      </c>
      <c r="R81" s="39" t="s">
        <v>105</v>
      </c>
      <c r="S81" s="39" t="s">
        <v>43</v>
      </c>
      <c r="T81" s="39" t="s">
        <v>142</v>
      </c>
      <c r="U81" s="39">
        <v>5317</v>
      </c>
      <c r="V81" s="39"/>
      <c r="W81" s="39">
        <v>691</v>
      </c>
    </row>
    <row r="82" spans="1:23">
      <c r="A82" s="39">
        <v>2010</v>
      </c>
      <c r="B82" s="39" t="s">
        <v>105</v>
      </c>
      <c r="C82" s="39" t="s">
        <v>43</v>
      </c>
      <c r="D82" s="39" t="s">
        <v>142</v>
      </c>
      <c r="E82" s="39">
        <v>5317</v>
      </c>
      <c r="F82" s="39"/>
      <c r="G82" s="39">
        <v>691</v>
      </c>
      <c r="Q82" s="40">
        <v>2010</v>
      </c>
      <c r="R82" s="40" t="s">
        <v>105</v>
      </c>
      <c r="S82" s="40" t="s">
        <v>43</v>
      </c>
      <c r="T82" s="40" t="s">
        <v>143</v>
      </c>
      <c r="U82" s="40">
        <v>3078</v>
      </c>
      <c r="V82" s="40"/>
      <c r="W82" s="40">
        <v>400</v>
      </c>
    </row>
    <row r="83" spans="1:23">
      <c r="A83" s="40">
        <v>2010</v>
      </c>
      <c r="B83" s="40" t="s">
        <v>105</v>
      </c>
      <c r="C83" s="40" t="s">
        <v>43</v>
      </c>
      <c r="D83" s="40" t="s">
        <v>143</v>
      </c>
      <c r="E83" s="40">
        <v>3078</v>
      </c>
      <c r="F83" s="40"/>
      <c r="G83" s="40">
        <v>400</v>
      </c>
      <c r="Q83" s="39">
        <v>2010</v>
      </c>
      <c r="R83" s="39" t="s">
        <v>105</v>
      </c>
      <c r="S83" s="39" t="s">
        <v>43</v>
      </c>
      <c r="T83" s="39" t="s">
        <v>144</v>
      </c>
      <c r="U83" s="39">
        <v>1898</v>
      </c>
      <c r="V83" s="39"/>
      <c r="W83" s="39">
        <v>246</v>
      </c>
    </row>
    <row r="84" spans="1:23">
      <c r="A84" s="39">
        <v>2010</v>
      </c>
      <c r="B84" s="39" t="s">
        <v>105</v>
      </c>
      <c r="C84" s="39" t="s">
        <v>43</v>
      </c>
      <c r="D84" s="39" t="s">
        <v>144</v>
      </c>
      <c r="E84" s="39">
        <v>1898</v>
      </c>
      <c r="F84" s="39"/>
      <c r="G84" s="39">
        <v>246</v>
      </c>
      <c r="Q84" s="40">
        <v>2010</v>
      </c>
      <c r="R84" s="40" t="s">
        <v>105</v>
      </c>
      <c r="S84" s="40" t="s">
        <v>43</v>
      </c>
      <c r="T84" s="40" t="s">
        <v>145</v>
      </c>
      <c r="U84" s="40">
        <v>752</v>
      </c>
      <c r="V84" s="40"/>
      <c r="W84" s="40">
        <v>97</v>
      </c>
    </row>
    <row r="85" spans="1:23">
      <c r="A85" s="40">
        <v>2010</v>
      </c>
      <c r="B85" s="40" t="s">
        <v>105</v>
      </c>
      <c r="C85" s="40" t="s">
        <v>43</v>
      </c>
      <c r="D85" s="40" t="s">
        <v>145</v>
      </c>
      <c r="E85" s="40">
        <v>752</v>
      </c>
      <c r="F85" s="40"/>
      <c r="G85" s="40">
        <v>97</v>
      </c>
      <c r="Q85" s="39">
        <v>2010</v>
      </c>
      <c r="R85" s="39" t="s">
        <v>105</v>
      </c>
      <c r="S85" s="39" t="s">
        <v>43</v>
      </c>
      <c r="T85" s="39" t="s">
        <v>146</v>
      </c>
      <c r="U85" s="39">
        <v>441</v>
      </c>
      <c r="V85" s="39"/>
      <c r="W85" s="39">
        <v>57</v>
      </c>
    </row>
    <row r="86" spans="1:23">
      <c r="A86" s="39">
        <v>2010</v>
      </c>
      <c r="B86" s="39" t="s">
        <v>105</v>
      </c>
      <c r="C86" s="39" t="s">
        <v>43</v>
      </c>
      <c r="D86" s="39" t="s">
        <v>146</v>
      </c>
      <c r="E86" s="39">
        <v>441</v>
      </c>
      <c r="F86" s="39"/>
      <c r="G86" s="39">
        <v>57</v>
      </c>
      <c r="Q86" s="40">
        <v>2010</v>
      </c>
      <c r="R86" s="40" t="s">
        <v>105</v>
      </c>
      <c r="S86" s="40" t="s">
        <v>43</v>
      </c>
      <c r="T86" s="40" t="s">
        <v>147</v>
      </c>
      <c r="U86" s="40">
        <v>278</v>
      </c>
      <c r="V86" s="40"/>
      <c r="W86" s="40">
        <v>36</v>
      </c>
    </row>
    <row r="87" spans="1:23">
      <c r="A87" s="40">
        <v>2010</v>
      </c>
      <c r="B87" s="40" t="s">
        <v>105</v>
      </c>
      <c r="C87" s="40" t="s">
        <v>43</v>
      </c>
      <c r="D87" s="40" t="s">
        <v>147</v>
      </c>
      <c r="E87" s="40">
        <v>278</v>
      </c>
      <c r="F87" s="40"/>
      <c r="G87" s="40">
        <v>36</v>
      </c>
      <c r="Q87" s="39"/>
      <c r="R87" s="39"/>
      <c r="S87" s="39"/>
      <c r="T87" s="39"/>
      <c r="U87" s="39"/>
      <c r="V87" s="39"/>
      <c r="W87" s="39"/>
    </row>
    <row r="88" spans="1:23">
      <c r="A88" s="39"/>
      <c r="B88" s="39"/>
      <c r="C88" s="39"/>
      <c r="D88" s="39"/>
      <c r="E88" s="39"/>
      <c r="F88" s="39"/>
      <c r="G88" s="39"/>
      <c r="Q88" s="40">
        <v>2010</v>
      </c>
      <c r="R88" s="40" t="s">
        <v>106</v>
      </c>
      <c r="S88" s="40" t="s">
        <v>43</v>
      </c>
      <c r="T88" s="40" t="s">
        <v>130</v>
      </c>
      <c r="U88" s="40">
        <v>196810</v>
      </c>
      <c r="V88" s="40"/>
      <c r="W88" s="40">
        <v>25585</v>
      </c>
    </row>
    <row r="89" spans="1:23">
      <c r="A89" s="40">
        <v>2010</v>
      </c>
      <c r="B89" s="40" t="s">
        <v>106</v>
      </c>
      <c r="C89" s="40" t="s">
        <v>43</v>
      </c>
      <c r="D89" s="40" t="s">
        <v>130</v>
      </c>
      <c r="E89" s="40">
        <v>196810</v>
      </c>
      <c r="F89" s="40"/>
      <c r="G89" s="40">
        <v>25585</v>
      </c>
      <c r="Q89" s="39">
        <v>2010</v>
      </c>
      <c r="R89" s="39" t="s">
        <v>106</v>
      </c>
      <c r="S89" s="39" t="s">
        <v>43</v>
      </c>
      <c r="T89" s="39" t="s">
        <v>131</v>
      </c>
      <c r="U89" s="39">
        <v>145081</v>
      </c>
      <c r="V89" s="39"/>
      <c r="W89" s="39">
        <v>15958</v>
      </c>
    </row>
    <row r="90" spans="1:23">
      <c r="A90" s="39">
        <v>2010</v>
      </c>
      <c r="B90" s="39" t="s">
        <v>106</v>
      </c>
      <c r="C90" s="39" t="s">
        <v>43</v>
      </c>
      <c r="D90" s="39" t="s">
        <v>131</v>
      </c>
      <c r="E90" s="39">
        <v>145081</v>
      </c>
      <c r="F90" s="39"/>
      <c r="G90" s="39">
        <v>15958</v>
      </c>
      <c r="Q90" s="40">
        <v>2010</v>
      </c>
      <c r="R90" s="40" t="s">
        <v>106</v>
      </c>
      <c r="S90" s="40" t="s">
        <v>43</v>
      </c>
      <c r="T90" s="40" t="s">
        <v>132</v>
      </c>
      <c r="U90" s="40">
        <v>139164</v>
      </c>
      <c r="V90" s="40"/>
      <c r="W90" s="40">
        <v>15308</v>
      </c>
    </row>
    <row r="91" spans="1:23">
      <c r="A91" s="40">
        <v>2010</v>
      </c>
      <c r="B91" s="40" t="s">
        <v>106</v>
      </c>
      <c r="C91" s="40" t="s">
        <v>43</v>
      </c>
      <c r="D91" s="40" t="s">
        <v>132</v>
      </c>
      <c r="E91" s="40">
        <v>139164</v>
      </c>
      <c r="F91" s="40"/>
      <c r="G91" s="40">
        <v>15308</v>
      </c>
      <c r="Q91" s="39">
        <v>2010</v>
      </c>
      <c r="R91" s="39" t="s">
        <v>106</v>
      </c>
      <c r="S91" s="39" t="s">
        <v>43</v>
      </c>
      <c r="T91" s="39" t="s">
        <v>117</v>
      </c>
      <c r="U91" s="39">
        <v>137616</v>
      </c>
      <c r="V91" s="39"/>
      <c r="W91" s="39">
        <v>15137</v>
      </c>
    </row>
    <row r="92" spans="1:23">
      <c r="A92" s="39">
        <v>2010</v>
      </c>
      <c r="B92" s="39" t="s">
        <v>106</v>
      </c>
      <c r="C92" s="39" t="s">
        <v>43</v>
      </c>
      <c r="D92" s="39" t="s">
        <v>117</v>
      </c>
      <c r="E92" s="39">
        <v>137616</v>
      </c>
      <c r="F92" s="39"/>
      <c r="G92" s="39">
        <v>15137</v>
      </c>
      <c r="Q92" s="40">
        <v>2010</v>
      </c>
      <c r="R92" s="40" t="s">
        <v>106</v>
      </c>
      <c r="S92" s="40" t="s">
        <v>43</v>
      </c>
      <c r="T92" s="40" t="s">
        <v>133</v>
      </c>
      <c r="U92" s="40">
        <v>124019</v>
      </c>
      <c r="V92" s="40"/>
      <c r="W92" s="40">
        <v>13642</v>
      </c>
    </row>
    <row r="93" spans="1:23">
      <c r="A93" s="40">
        <v>2010</v>
      </c>
      <c r="B93" s="40" t="s">
        <v>106</v>
      </c>
      <c r="C93" s="40" t="s">
        <v>43</v>
      </c>
      <c r="D93" s="40" t="s">
        <v>133</v>
      </c>
      <c r="E93" s="40">
        <v>124019</v>
      </c>
      <c r="F93" s="40"/>
      <c r="G93" s="40">
        <v>13642</v>
      </c>
      <c r="Q93" s="39">
        <v>2010</v>
      </c>
      <c r="R93" s="39" t="s">
        <v>106</v>
      </c>
      <c r="S93" s="39" t="s">
        <v>43</v>
      </c>
      <c r="T93" s="39" t="s">
        <v>134</v>
      </c>
      <c r="U93" s="39">
        <v>113430</v>
      </c>
      <c r="V93" s="39"/>
      <c r="W93" s="39">
        <v>12477</v>
      </c>
    </row>
    <row r="94" spans="1:23">
      <c r="A94" s="39">
        <v>2010</v>
      </c>
      <c r="B94" s="39" t="s">
        <v>106</v>
      </c>
      <c r="C94" s="39" t="s">
        <v>43</v>
      </c>
      <c r="D94" s="39" t="s">
        <v>134</v>
      </c>
      <c r="E94" s="39">
        <v>113430</v>
      </c>
      <c r="F94" s="39"/>
      <c r="G94" s="39">
        <v>12477</v>
      </c>
      <c r="Q94" s="40">
        <v>2010</v>
      </c>
      <c r="R94" s="40" t="s">
        <v>106</v>
      </c>
      <c r="S94" s="40" t="s">
        <v>43</v>
      </c>
      <c r="T94" s="40" t="s">
        <v>135</v>
      </c>
      <c r="U94" s="40">
        <v>77300</v>
      </c>
      <c r="V94" s="40"/>
      <c r="W94" s="40">
        <v>8503</v>
      </c>
    </row>
    <row r="95" spans="1:23">
      <c r="A95" s="40">
        <v>2010</v>
      </c>
      <c r="B95" s="40" t="s">
        <v>106</v>
      </c>
      <c r="C95" s="40" t="s">
        <v>43</v>
      </c>
      <c r="D95" s="40" t="s">
        <v>135</v>
      </c>
      <c r="E95" s="40">
        <v>77300</v>
      </c>
      <c r="F95" s="40"/>
      <c r="G95" s="40">
        <v>8503</v>
      </c>
      <c r="Q95" s="39">
        <v>2010</v>
      </c>
      <c r="R95" s="39" t="s">
        <v>106</v>
      </c>
      <c r="S95" s="39" t="s">
        <v>43</v>
      </c>
      <c r="T95" s="39" t="s">
        <v>136</v>
      </c>
      <c r="U95" s="39">
        <v>57163</v>
      </c>
      <c r="V95" s="39"/>
      <c r="W95" s="39">
        <v>6287</v>
      </c>
    </row>
    <row r="96" spans="1:23">
      <c r="A96" s="39">
        <v>2010</v>
      </c>
      <c r="B96" s="39" t="s">
        <v>106</v>
      </c>
      <c r="C96" s="39" t="s">
        <v>43</v>
      </c>
      <c r="D96" s="39" t="s">
        <v>136</v>
      </c>
      <c r="E96" s="39">
        <v>57163</v>
      </c>
      <c r="F96" s="39"/>
      <c r="G96" s="39">
        <v>6287</v>
      </c>
      <c r="Q96" s="40">
        <v>2010</v>
      </c>
      <c r="R96" s="40" t="s">
        <v>106</v>
      </c>
      <c r="S96" s="40" t="s">
        <v>43</v>
      </c>
      <c r="T96" s="40" t="s">
        <v>137</v>
      </c>
      <c r="U96" s="40">
        <v>32559</v>
      </c>
      <c r="V96" s="40"/>
      <c r="W96" s="40">
        <v>3581</v>
      </c>
    </row>
    <row r="97" spans="1:23">
      <c r="A97" s="40">
        <v>2010</v>
      </c>
      <c r="B97" s="40" t="s">
        <v>106</v>
      </c>
      <c r="C97" s="40" t="s">
        <v>43</v>
      </c>
      <c r="D97" s="40" t="s">
        <v>137</v>
      </c>
      <c r="E97" s="40">
        <v>32559</v>
      </c>
      <c r="F97" s="40"/>
      <c r="G97" s="40">
        <v>3581</v>
      </c>
      <c r="Q97" s="39">
        <v>2010</v>
      </c>
      <c r="R97" s="39" t="s">
        <v>106</v>
      </c>
      <c r="S97" s="39" t="s">
        <v>43</v>
      </c>
      <c r="T97" s="39" t="s">
        <v>138</v>
      </c>
      <c r="U97" s="39">
        <v>27516</v>
      </c>
      <c r="V97" s="39"/>
      <c r="W97" s="39">
        <v>3026</v>
      </c>
    </row>
    <row r="98" spans="1:23">
      <c r="A98" s="39">
        <v>2010</v>
      </c>
      <c r="B98" s="39" t="s">
        <v>106</v>
      </c>
      <c r="C98" s="39" t="s">
        <v>43</v>
      </c>
      <c r="D98" s="39" t="s">
        <v>138</v>
      </c>
      <c r="E98" s="39">
        <v>27516</v>
      </c>
      <c r="F98" s="39"/>
      <c r="G98" s="39">
        <v>3026</v>
      </c>
      <c r="Q98" s="40">
        <v>2010</v>
      </c>
      <c r="R98" s="40" t="s">
        <v>106</v>
      </c>
      <c r="S98" s="40" t="s">
        <v>43</v>
      </c>
      <c r="T98" s="40" t="s">
        <v>139</v>
      </c>
      <c r="U98" s="40">
        <v>18748</v>
      </c>
      <c r="V98" s="40"/>
      <c r="W98" s="40">
        <v>2062</v>
      </c>
    </row>
    <row r="99" spans="1:23">
      <c r="A99" s="40">
        <v>2010</v>
      </c>
      <c r="B99" s="40" t="s">
        <v>106</v>
      </c>
      <c r="C99" s="40" t="s">
        <v>43</v>
      </c>
      <c r="D99" s="40" t="s">
        <v>139</v>
      </c>
      <c r="E99" s="40">
        <v>18748</v>
      </c>
      <c r="F99" s="40"/>
      <c r="G99" s="40">
        <v>2062</v>
      </c>
      <c r="Q99" s="39">
        <v>2010</v>
      </c>
      <c r="R99" s="39" t="s">
        <v>106</v>
      </c>
      <c r="S99" s="39" t="s">
        <v>43</v>
      </c>
      <c r="T99" s="39" t="s">
        <v>140</v>
      </c>
      <c r="U99" s="39">
        <v>13093</v>
      </c>
      <c r="V99" s="39"/>
      <c r="W99" s="39">
        <v>1440</v>
      </c>
    </row>
    <row r="100" spans="1:23">
      <c r="A100" s="39">
        <v>2010</v>
      </c>
      <c r="B100" s="39" t="s">
        <v>106</v>
      </c>
      <c r="C100" s="39" t="s">
        <v>43</v>
      </c>
      <c r="D100" s="39" t="s">
        <v>140</v>
      </c>
      <c r="E100" s="39">
        <v>13093</v>
      </c>
      <c r="F100" s="39"/>
      <c r="G100" s="39">
        <v>1440</v>
      </c>
      <c r="Q100" s="40">
        <v>2010</v>
      </c>
      <c r="R100" s="40" t="s">
        <v>106</v>
      </c>
      <c r="S100" s="40" t="s">
        <v>43</v>
      </c>
      <c r="T100" s="40" t="s">
        <v>141</v>
      </c>
      <c r="U100" s="40">
        <v>9299</v>
      </c>
      <c r="V100" s="40"/>
      <c r="W100" s="40">
        <v>1022</v>
      </c>
    </row>
    <row r="101" spans="1:23">
      <c r="A101" s="40">
        <v>2010</v>
      </c>
      <c r="B101" s="40" t="s">
        <v>106</v>
      </c>
      <c r="C101" s="40" t="s">
        <v>43</v>
      </c>
      <c r="D101" s="40" t="s">
        <v>141</v>
      </c>
      <c r="E101" s="40">
        <v>9299</v>
      </c>
      <c r="F101" s="40"/>
      <c r="G101" s="40">
        <v>1022</v>
      </c>
      <c r="Q101" s="39">
        <v>2010</v>
      </c>
      <c r="R101" s="39" t="s">
        <v>106</v>
      </c>
      <c r="S101" s="39" t="s">
        <v>43</v>
      </c>
      <c r="T101" s="39" t="s">
        <v>142</v>
      </c>
      <c r="U101" s="39">
        <v>6254</v>
      </c>
      <c r="V101" s="39"/>
      <c r="W101" s="39">
        <v>813</v>
      </c>
    </row>
    <row r="102" spans="1:23">
      <c r="A102" s="39">
        <v>2010</v>
      </c>
      <c r="B102" s="39" t="s">
        <v>106</v>
      </c>
      <c r="C102" s="39" t="s">
        <v>43</v>
      </c>
      <c r="D102" s="39" t="s">
        <v>142</v>
      </c>
      <c r="E102" s="39">
        <v>6254</v>
      </c>
      <c r="F102" s="39"/>
      <c r="G102" s="39">
        <v>813</v>
      </c>
      <c r="Q102" s="40">
        <v>2010</v>
      </c>
      <c r="R102" s="40" t="s">
        <v>106</v>
      </c>
      <c r="S102" s="40" t="s">
        <v>43</v>
      </c>
      <c r="T102" s="40" t="s">
        <v>143</v>
      </c>
      <c r="U102" s="40">
        <v>4208</v>
      </c>
      <c r="V102" s="40"/>
      <c r="W102" s="40">
        <v>547</v>
      </c>
    </row>
    <row r="103" spans="1:23">
      <c r="A103" s="40">
        <v>2010</v>
      </c>
      <c r="B103" s="40" t="s">
        <v>106</v>
      </c>
      <c r="C103" s="40" t="s">
        <v>43</v>
      </c>
      <c r="D103" s="40" t="s">
        <v>143</v>
      </c>
      <c r="E103" s="40">
        <v>4208</v>
      </c>
      <c r="F103" s="40"/>
      <c r="G103" s="40">
        <v>547</v>
      </c>
      <c r="Q103" s="39">
        <v>2010</v>
      </c>
      <c r="R103" s="39" t="s">
        <v>106</v>
      </c>
      <c r="S103" s="39" t="s">
        <v>43</v>
      </c>
      <c r="T103" s="39" t="s">
        <v>144</v>
      </c>
      <c r="U103" s="39">
        <v>2863</v>
      </c>
      <c r="V103" s="39"/>
      <c r="W103" s="39">
        <v>372</v>
      </c>
    </row>
    <row r="104" spans="1:23">
      <c r="A104" s="39">
        <v>2010</v>
      </c>
      <c r="B104" s="39" t="s">
        <v>106</v>
      </c>
      <c r="C104" s="39" t="s">
        <v>43</v>
      </c>
      <c r="D104" s="39" t="s">
        <v>144</v>
      </c>
      <c r="E104" s="39">
        <v>2863</v>
      </c>
      <c r="F104" s="39"/>
      <c r="G104" s="39">
        <v>372</v>
      </c>
      <c r="Q104" s="40">
        <v>2010</v>
      </c>
      <c r="R104" s="40" t="s">
        <v>106</v>
      </c>
      <c r="S104" s="40" t="s">
        <v>43</v>
      </c>
      <c r="T104" s="40" t="s">
        <v>145</v>
      </c>
      <c r="U104" s="40">
        <v>1454</v>
      </c>
      <c r="V104" s="40"/>
      <c r="W104" s="40">
        <v>189</v>
      </c>
    </row>
    <row r="105" spans="1:23">
      <c r="A105" s="40">
        <v>2010</v>
      </c>
      <c r="B105" s="40" t="s">
        <v>106</v>
      </c>
      <c r="C105" s="40" t="s">
        <v>43</v>
      </c>
      <c r="D105" s="40" t="s">
        <v>145</v>
      </c>
      <c r="E105" s="40">
        <v>1454</v>
      </c>
      <c r="F105" s="40"/>
      <c r="G105" s="40">
        <v>189</v>
      </c>
      <c r="Q105" s="39">
        <v>2010</v>
      </c>
      <c r="R105" s="39" t="s">
        <v>106</v>
      </c>
      <c r="S105" s="39" t="s">
        <v>43</v>
      </c>
      <c r="T105" s="39" t="s">
        <v>146</v>
      </c>
      <c r="U105" s="39">
        <v>923</v>
      </c>
      <c r="V105" s="39"/>
      <c r="W105" s="39">
        <v>119</v>
      </c>
    </row>
    <row r="106" spans="1:23">
      <c r="A106" s="39">
        <v>2010</v>
      </c>
      <c r="B106" s="39" t="s">
        <v>106</v>
      </c>
      <c r="C106" s="39" t="s">
        <v>43</v>
      </c>
      <c r="D106" s="39" t="s">
        <v>146</v>
      </c>
      <c r="E106" s="39">
        <v>923</v>
      </c>
      <c r="F106" s="39"/>
      <c r="G106" s="39">
        <v>119</v>
      </c>
      <c r="Q106" s="40">
        <v>2010</v>
      </c>
      <c r="R106" s="40" t="s">
        <v>106</v>
      </c>
      <c r="S106" s="40" t="s">
        <v>43</v>
      </c>
      <c r="T106" s="40" t="s">
        <v>147</v>
      </c>
      <c r="U106" s="40">
        <v>727</v>
      </c>
      <c r="V106" s="40"/>
      <c r="W106" s="40">
        <v>94</v>
      </c>
    </row>
    <row r="107" spans="1:23">
      <c r="A107" s="40">
        <v>2010</v>
      </c>
      <c r="B107" s="40" t="s">
        <v>106</v>
      </c>
      <c r="C107" s="40" t="s">
        <v>43</v>
      </c>
      <c r="D107" s="40" t="s">
        <v>147</v>
      </c>
      <c r="E107" s="40">
        <v>727</v>
      </c>
      <c r="F107" s="40"/>
      <c r="G107" s="40">
        <v>94</v>
      </c>
      <c r="Q107" s="39"/>
      <c r="R107" s="39"/>
      <c r="S107" s="39"/>
      <c r="T107" s="39"/>
      <c r="U107" s="39"/>
      <c r="V107" s="39"/>
      <c r="W107" s="39"/>
    </row>
    <row r="108" spans="1:23">
      <c r="A108" s="39"/>
      <c r="B108" s="39"/>
      <c r="C108" s="39"/>
      <c r="D108" s="39"/>
      <c r="E108" s="39"/>
      <c r="F108" s="39"/>
      <c r="G108" s="39"/>
      <c r="Q108" s="40">
        <v>2010</v>
      </c>
      <c r="R108" s="40" t="s">
        <v>107</v>
      </c>
      <c r="S108" s="40" t="s">
        <v>43</v>
      </c>
      <c r="T108" s="40" t="s">
        <v>130</v>
      </c>
      <c r="U108" s="40">
        <v>78923</v>
      </c>
      <c r="V108" s="40"/>
      <c r="W108" s="40">
        <v>10259</v>
      </c>
    </row>
    <row r="109" spans="1:23">
      <c r="A109" s="40">
        <v>2010</v>
      </c>
      <c r="B109" s="40" t="s">
        <v>107</v>
      </c>
      <c r="C109" s="40" t="s">
        <v>43</v>
      </c>
      <c r="D109" s="40" t="s">
        <v>130</v>
      </c>
      <c r="E109" s="40">
        <v>78923</v>
      </c>
      <c r="F109" s="40"/>
      <c r="G109" s="40">
        <v>10259</v>
      </c>
      <c r="Q109" s="39">
        <v>2010</v>
      </c>
      <c r="R109" s="39" t="s">
        <v>107</v>
      </c>
      <c r="S109" s="39" t="s">
        <v>43</v>
      </c>
      <c r="T109" s="39" t="s">
        <v>131</v>
      </c>
      <c r="U109" s="39">
        <v>59001</v>
      </c>
      <c r="V109" s="39"/>
      <c r="W109" s="39">
        <v>6490</v>
      </c>
    </row>
    <row r="110" spans="1:23">
      <c r="A110" s="39">
        <v>2010</v>
      </c>
      <c r="B110" s="39" t="s">
        <v>107</v>
      </c>
      <c r="C110" s="39" t="s">
        <v>43</v>
      </c>
      <c r="D110" s="39" t="s">
        <v>131</v>
      </c>
      <c r="E110" s="39">
        <v>59001</v>
      </c>
      <c r="F110" s="39"/>
      <c r="G110" s="39">
        <v>6490</v>
      </c>
      <c r="Q110" s="40">
        <v>2010</v>
      </c>
      <c r="R110" s="40" t="s">
        <v>107</v>
      </c>
      <c r="S110" s="40" t="s">
        <v>43</v>
      </c>
      <c r="T110" s="40" t="s">
        <v>132</v>
      </c>
      <c r="U110" s="40">
        <v>44058</v>
      </c>
      <c r="V110" s="40"/>
      <c r="W110" s="40">
        <v>4846</v>
      </c>
    </row>
    <row r="111" spans="1:23">
      <c r="A111" s="40">
        <v>2010</v>
      </c>
      <c r="B111" s="40" t="s">
        <v>107</v>
      </c>
      <c r="C111" s="40" t="s">
        <v>43</v>
      </c>
      <c r="D111" s="40" t="s">
        <v>132</v>
      </c>
      <c r="E111" s="40">
        <v>44058</v>
      </c>
      <c r="F111" s="40"/>
      <c r="G111" s="40">
        <v>4846</v>
      </c>
      <c r="Q111" s="39">
        <v>2010</v>
      </c>
      <c r="R111" s="39" t="s">
        <v>107</v>
      </c>
      <c r="S111" s="39" t="s">
        <v>43</v>
      </c>
      <c r="T111" s="39" t="s">
        <v>117</v>
      </c>
      <c r="U111" s="39">
        <v>40379</v>
      </c>
      <c r="V111" s="39"/>
      <c r="W111" s="39">
        <v>4441</v>
      </c>
    </row>
    <row r="112" spans="1:23">
      <c r="A112" s="39">
        <v>2010</v>
      </c>
      <c r="B112" s="39" t="s">
        <v>107</v>
      </c>
      <c r="C112" s="39" t="s">
        <v>43</v>
      </c>
      <c r="D112" s="39" t="s">
        <v>117</v>
      </c>
      <c r="E112" s="39">
        <v>40379</v>
      </c>
      <c r="F112" s="39"/>
      <c r="G112" s="39">
        <v>4441</v>
      </c>
      <c r="Q112" s="40">
        <v>2010</v>
      </c>
      <c r="R112" s="40" t="s">
        <v>107</v>
      </c>
      <c r="S112" s="40" t="s">
        <v>43</v>
      </c>
      <c r="T112" s="40" t="s">
        <v>133</v>
      </c>
      <c r="U112" s="40">
        <v>30977</v>
      </c>
      <c r="V112" s="40"/>
      <c r="W112" s="40">
        <v>3407</v>
      </c>
    </row>
    <row r="113" spans="1:23">
      <c r="A113" s="40">
        <v>2010</v>
      </c>
      <c r="B113" s="40" t="s">
        <v>107</v>
      </c>
      <c r="C113" s="40" t="s">
        <v>43</v>
      </c>
      <c r="D113" s="40" t="s">
        <v>133</v>
      </c>
      <c r="E113" s="40">
        <v>30977</v>
      </c>
      <c r="F113" s="40"/>
      <c r="G113" s="40">
        <v>3407</v>
      </c>
      <c r="Q113" s="39">
        <v>2010</v>
      </c>
      <c r="R113" s="39" t="s">
        <v>107</v>
      </c>
      <c r="S113" s="39" t="s">
        <v>43</v>
      </c>
      <c r="T113" s="39" t="s">
        <v>134</v>
      </c>
      <c r="U113" s="39">
        <v>27705</v>
      </c>
      <c r="V113" s="39"/>
      <c r="W113" s="39">
        <v>3047</v>
      </c>
    </row>
    <row r="114" spans="1:23">
      <c r="A114" s="39">
        <v>2010</v>
      </c>
      <c r="B114" s="39" t="s">
        <v>107</v>
      </c>
      <c r="C114" s="39" t="s">
        <v>43</v>
      </c>
      <c r="D114" s="39" t="s">
        <v>134</v>
      </c>
      <c r="E114" s="39">
        <v>27705</v>
      </c>
      <c r="F114" s="39"/>
      <c r="G114" s="39">
        <v>3047</v>
      </c>
      <c r="Q114" s="40">
        <v>2010</v>
      </c>
      <c r="R114" s="40" t="s">
        <v>107</v>
      </c>
      <c r="S114" s="40" t="s">
        <v>43</v>
      </c>
      <c r="T114" s="40" t="s">
        <v>135</v>
      </c>
      <c r="U114" s="40">
        <v>17872</v>
      </c>
      <c r="V114" s="40"/>
      <c r="W114" s="40">
        <v>1965</v>
      </c>
    </row>
    <row r="115" spans="1:23">
      <c r="A115" s="40">
        <v>2010</v>
      </c>
      <c r="B115" s="40" t="s">
        <v>107</v>
      </c>
      <c r="C115" s="40" t="s">
        <v>43</v>
      </c>
      <c r="D115" s="40" t="s">
        <v>135</v>
      </c>
      <c r="E115" s="40">
        <v>17872</v>
      </c>
      <c r="F115" s="40"/>
      <c r="G115" s="40">
        <v>1965</v>
      </c>
      <c r="Q115" s="39">
        <v>2010</v>
      </c>
      <c r="R115" s="39" t="s">
        <v>107</v>
      </c>
      <c r="S115" s="39" t="s">
        <v>43</v>
      </c>
      <c r="T115" s="39" t="s">
        <v>136</v>
      </c>
      <c r="U115" s="39">
        <v>15802</v>
      </c>
      <c r="V115" s="39"/>
      <c r="W115" s="39">
        <v>1738</v>
      </c>
    </row>
    <row r="116" spans="1:23">
      <c r="A116" s="39">
        <v>2010</v>
      </c>
      <c r="B116" s="39" t="s">
        <v>107</v>
      </c>
      <c r="C116" s="39" t="s">
        <v>43</v>
      </c>
      <c r="D116" s="39" t="s">
        <v>136</v>
      </c>
      <c r="E116" s="39">
        <v>15802</v>
      </c>
      <c r="F116" s="39"/>
      <c r="G116" s="39">
        <v>1738</v>
      </c>
      <c r="Q116" s="40">
        <v>2010</v>
      </c>
      <c r="R116" s="40" t="s">
        <v>107</v>
      </c>
      <c r="S116" s="40" t="s">
        <v>43</v>
      </c>
      <c r="T116" s="40" t="s">
        <v>137</v>
      </c>
      <c r="U116" s="40">
        <v>10429</v>
      </c>
      <c r="V116" s="40"/>
      <c r="W116" s="40">
        <v>1147</v>
      </c>
    </row>
    <row r="117" spans="1:23">
      <c r="A117" s="40">
        <v>2010</v>
      </c>
      <c r="B117" s="40" t="s">
        <v>107</v>
      </c>
      <c r="C117" s="40" t="s">
        <v>43</v>
      </c>
      <c r="D117" s="40" t="s">
        <v>137</v>
      </c>
      <c r="E117" s="40">
        <v>10429</v>
      </c>
      <c r="F117" s="40"/>
      <c r="G117" s="40">
        <v>1147</v>
      </c>
      <c r="Q117" s="39">
        <v>2010</v>
      </c>
      <c r="R117" s="39" t="s">
        <v>107</v>
      </c>
      <c r="S117" s="39" t="s">
        <v>43</v>
      </c>
      <c r="T117" s="39" t="s">
        <v>138</v>
      </c>
      <c r="U117" s="39">
        <v>9812</v>
      </c>
      <c r="V117" s="39"/>
      <c r="W117" s="39">
        <v>1079</v>
      </c>
    </row>
    <row r="118" spans="1:23">
      <c r="A118" s="39">
        <v>2010</v>
      </c>
      <c r="B118" s="39" t="s">
        <v>107</v>
      </c>
      <c r="C118" s="39" t="s">
        <v>43</v>
      </c>
      <c r="D118" s="39" t="s">
        <v>138</v>
      </c>
      <c r="E118" s="39">
        <v>9812</v>
      </c>
      <c r="F118" s="39"/>
      <c r="G118" s="39">
        <v>1079</v>
      </c>
      <c r="Q118" s="40">
        <v>2010</v>
      </c>
      <c r="R118" s="40" t="s">
        <v>107</v>
      </c>
      <c r="S118" s="40" t="s">
        <v>43</v>
      </c>
      <c r="T118" s="40" t="s">
        <v>139</v>
      </c>
      <c r="U118" s="40">
        <v>6398</v>
      </c>
      <c r="V118" s="40"/>
      <c r="W118" s="40">
        <v>703</v>
      </c>
    </row>
    <row r="119" spans="1:23">
      <c r="A119" s="40">
        <v>2010</v>
      </c>
      <c r="B119" s="40" t="s">
        <v>107</v>
      </c>
      <c r="C119" s="40" t="s">
        <v>43</v>
      </c>
      <c r="D119" s="40" t="s">
        <v>139</v>
      </c>
      <c r="E119" s="40">
        <v>6398</v>
      </c>
      <c r="F119" s="40"/>
      <c r="G119" s="40">
        <v>703</v>
      </c>
      <c r="Q119" s="39">
        <v>2010</v>
      </c>
      <c r="R119" s="39" t="s">
        <v>107</v>
      </c>
      <c r="S119" s="39" t="s">
        <v>43</v>
      </c>
      <c r="T119" s="39" t="s">
        <v>140</v>
      </c>
      <c r="U119" s="39">
        <v>5547</v>
      </c>
      <c r="V119" s="39"/>
      <c r="W119" s="39">
        <v>610</v>
      </c>
    </row>
    <row r="120" spans="1:23">
      <c r="A120" s="39">
        <v>2010</v>
      </c>
      <c r="B120" s="39" t="s">
        <v>107</v>
      </c>
      <c r="C120" s="39" t="s">
        <v>43</v>
      </c>
      <c r="D120" s="39" t="s">
        <v>140</v>
      </c>
      <c r="E120" s="39">
        <v>5547</v>
      </c>
      <c r="F120" s="39"/>
      <c r="G120" s="39">
        <v>610</v>
      </c>
      <c r="Q120" s="40">
        <v>2010</v>
      </c>
      <c r="R120" s="40" t="s">
        <v>107</v>
      </c>
      <c r="S120" s="40" t="s">
        <v>43</v>
      </c>
      <c r="T120" s="40" t="s">
        <v>141</v>
      </c>
      <c r="U120" s="40">
        <v>5019</v>
      </c>
      <c r="V120" s="40"/>
      <c r="W120" s="40">
        <v>552</v>
      </c>
    </row>
    <row r="121" spans="1:23">
      <c r="A121" s="40">
        <v>2010</v>
      </c>
      <c r="B121" s="40" t="s">
        <v>107</v>
      </c>
      <c r="C121" s="40" t="s">
        <v>43</v>
      </c>
      <c r="D121" s="40" t="s">
        <v>141</v>
      </c>
      <c r="E121" s="40">
        <v>5019</v>
      </c>
      <c r="F121" s="40"/>
      <c r="G121" s="40">
        <v>552</v>
      </c>
      <c r="Q121" s="39">
        <v>2010</v>
      </c>
      <c r="R121" s="39" t="s">
        <v>107</v>
      </c>
      <c r="S121" s="39" t="s">
        <v>43</v>
      </c>
      <c r="T121" s="39" t="s">
        <v>142</v>
      </c>
      <c r="U121" s="39">
        <v>4048</v>
      </c>
      <c r="V121" s="39"/>
      <c r="W121" s="39">
        <v>526</v>
      </c>
    </row>
    <row r="122" spans="1:23">
      <c r="A122" s="39">
        <v>2010</v>
      </c>
      <c r="B122" s="39" t="s">
        <v>107</v>
      </c>
      <c r="C122" s="39" t="s">
        <v>43</v>
      </c>
      <c r="D122" s="39" t="s">
        <v>142</v>
      </c>
      <c r="E122" s="39">
        <v>4048</v>
      </c>
      <c r="F122" s="39"/>
      <c r="G122" s="39">
        <v>526</v>
      </c>
      <c r="Q122" s="40">
        <v>2010</v>
      </c>
      <c r="R122" s="40" t="s">
        <v>107</v>
      </c>
      <c r="S122" s="40" t="s">
        <v>43</v>
      </c>
      <c r="T122" s="40" t="s">
        <v>143</v>
      </c>
      <c r="U122" s="40">
        <v>2660</v>
      </c>
      <c r="V122" s="40"/>
      <c r="W122" s="40">
        <v>345</v>
      </c>
    </row>
    <row r="123" spans="1:23">
      <c r="A123" s="40">
        <v>2010</v>
      </c>
      <c r="B123" s="40" t="s">
        <v>107</v>
      </c>
      <c r="C123" s="40" t="s">
        <v>43</v>
      </c>
      <c r="D123" s="40" t="s">
        <v>143</v>
      </c>
      <c r="E123" s="40">
        <v>2660</v>
      </c>
      <c r="F123" s="40"/>
      <c r="G123" s="40">
        <v>345</v>
      </c>
      <c r="Q123" s="39">
        <v>2010</v>
      </c>
      <c r="R123" s="39" t="s">
        <v>107</v>
      </c>
      <c r="S123" s="39" t="s">
        <v>43</v>
      </c>
      <c r="T123" s="39" t="s">
        <v>144</v>
      </c>
      <c r="U123" s="39">
        <v>1729</v>
      </c>
      <c r="V123" s="39"/>
      <c r="W123" s="39">
        <v>224</v>
      </c>
    </row>
    <row r="124" spans="1:23">
      <c r="A124" s="39">
        <v>2010</v>
      </c>
      <c r="B124" s="39" t="s">
        <v>107</v>
      </c>
      <c r="C124" s="39" t="s">
        <v>43</v>
      </c>
      <c r="D124" s="39" t="s">
        <v>144</v>
      </c>
      <c r="E124" s="39">
        <v>1729</v>
      </c>
      <c r="F124" s="39"/>
      <c r="G124" s="39">
        <v>224</v>
      </c>
      <c r="Q124" s="40">
        <v>2010</v>
      </c>
      <c r="R124" s="40" t="s">
        <v>107</v>
      </c>
      <c r="S124" s="40" t="s">
        <v>43</v>
      </c>
      <c r="T124" s="40" t="s">
        <v>145</v>
      </c>
      <c r="U124" s="40">
        <v>679</v>
      </c>
      <c r="V124" s="40"/>
      <c r="W124" s="40">
        <v>88</v>
      </c>
    </row>
    <row r="125" spans="1:23">
      <c r="A125" s="40">
        <v>2010</v>
      </c>
      <c r="B125" s="40" t="s">
        <v>107</v>
      </c>
      <c r="C125" s="40" t="s">
        <v>43</v>
      </c>
      <c r="D125" s="40" t="s">
        <v>145</v>
      </c>
      <c r="E125" s="40">
        <v>679</v>
      </c>
      <c r="F125" s="40"/>
      <c r="G125" s="40">
        <v>88</v>
      </c>
      <c r="Q125" s="39">
        <v>2010</v>
      </c>
      <c r="R125" s="39" t="s">
        <v>107</v>
      </c>
      <c r="S125" s="39" t="s">
        <v>43</v>
      </c>
      <c r="T125" s="39" t="s">
        <v>146</v>
      </c>
      <c r="U125" s="39">
        <v>434</v>
      </c>
      <c r="V125" s="39"/>
      <c r="W125" s="39">
        <v>56</v>
      </c>
    </row>
    <row r="126" spans="1:23">
      <c r="A126" s="39">
        <v>2010</v>
      </c>
      <c r="B126" s="39" t="s">
        <v>107</v>
      </c>
      <c r="C126" s="39" t="s">
        <v>43</v>
      </c>
      <c r="D126" s="39" t="s">
        <v>146</v>
      </c>
      <c r="E126" s="39">
        <v>434</v>
      </c>
      <c r="F126" s="39"/>
      <c r="G126" s="39">
        <v>56</v>
      </c>
      <c r="Q126" s="40">
        <v>2010</v>
      </c>
      <c r="R126" s="40" t="s">
        <v>107</v>
      </c>
      <c r="S126" s="40" t="s">
        <v>43</v>
      </c>
      <c r="T126" s="40" t="s">
        <v>147</v>
      </c>
      <c r="U126" s="40">
        <v>313</v>
      </c>
      <c r="V126" s="40"/>
      <c r="W126" s="40">
        <v>40</v>
      </c>
    </row>
    <row r="127" spans="1:23">
      <c r="A127" s="40">
        <v>2010</v>
      </c>
      <c r="B127" s="40" t="s">
        <v>107</v>
      </c>
      <c r="C127" s="40" t="s">
        <v>43</v>
      </c>
      <c r="D127" s="40" t="s">
        <v>147</v>
      </c>
      <c r="E127" s="40">
        <v>313</v>
      </c>
      <c r="F127" s="40"/>
      <c r="G127" s="40">
        <v>40</v>
      </c>
      <c r="Q127" s="39"/>
      <c r="R127" s="39"/>
      <c r="S127" s="39"/>
      <c r="T127" s="39"/>
      <c r="U127" s="39"/>
      <c r="V127" s="39"/>
      <c r="W127" s="39"/>
    </row>
    <row r="128" spans="1:23">
      <c r="A128" s="39"/>
      <c r="B128" s="39"/>
      <c r="C128" s="39"/>
      <c r="D128" s="39"/>
      <c r="E128" s="39"/>
      <c r="F128" s="39"/>
      <c r="G128" s="39"/>
      <c r="Q128" s="40">
        <v>2010</v>
      </c>
      <c r="R128" s="40" t="s">
        <v>109</v>
      </c>
      <c r="S128" s="40" t="s">
        <v>43</v>
      </c>
      <c r="T128" s="40" t="s">
        <v>130</v>
      </c>
      <c r="U128" s="40">
        <v>124625</v>
      </c>
      <c r="V128" s="40"/>
      <c r="W128" s="40">
        <v>16201</v>
      </c>
    </row>
    <row r="129" spans="1:23">
      <c r="A129" s="40">
        <v>2010</v>
      </c>
      <c r="B129" s="40" t="s">
        <v>109</v>
      </c>
      <c r="C129" s="40" t="s">
        <v>43</v>
      </c>
      <c r="D129" s="40" t="s">
        <v>130</v>
      </c>
      <c r="E129" s="40">
        <v>124625</v>
      </c>
      <c r="F129" s="40"/>
      <c r="G129" s="40">
        <v>16201</v>
      </c>
      <c r="Q129" s="39">
        <v>2010</v>
      </c>
      <c r="R129" s="39" t="s">
        <v>109</v>
      </c>
      <c r="S129" s="39" t="s">
        <v>43</v>
      </c>
      <c r="T129" s="39" t="s">
        <v>131</v>
      </c>
      <c r="U129" s="39">
        <v>91084</v>
      </c>
      <c r="V129" s="39"/>
      <c r="W129" s="39">
        <v>10019</v>
      </c>
    </row>
    <row r="130" spans="1:23">
      <c r="A130" s="39">
        <v>2010</v>
      </c>
      <c r="B130" s="39" t="s">
        <v>109</v>
      </c>
      <c r="C130" s="39" t="s">
        <v>43</v>
      </c>
      <c r="D130" s="39" t="s">
        <v>131</v>
      </c>
      <c r="E130" s="39">
        <v>91084</v>
      </c>
      <c r="F130" s="39"/>
      <c r="G130" s="39">
        <v>10019</v>
      </c>
      <c r="Q130" s="40">
        <v>2010</v>
      </c>
      <c r="R130" s="40" t="s">
        <v>109</v>
      </c>
      <c r="S130" s="40" t="s">
        <v>43</v>
      </c>
      <c r="T130" s="40" t="s">
        <v>132</v>
      </c>
      <c r="U130" s="40">
        <v>66376</v>
      </c>
      <c r="V130" s="40"/>
      <c r="W130" s="40">
        <v>7301</v>
      </c>
    </row>
    <row r="131" spans="1:23">
      <c r="A131" s="40">
        <v>2010</v>
      </c>
      <c r="B131" s="40" t="s">
        <v>109</v>
      </c>
      <c r="C131" s="40" t="s">
        <v>43</v>
      </c>
      <c r="D131" s="40" t="s">
        <v>132</v>
      </c>
      <c r="E131" s="40">
        <v>66376</v>
      </c>
      <c r="F131" s="40"/>
      <c r="G131" s="40">
        <v>7301</v>
      </c>
      <c r="Q131" s="39">
        <v>2010</v>
      </c>
      <c r="R131" s="39" t="s">
        <v>109</v>
      </c>
      <c r="S131" s="39" t="s">
        <v>43</v>
      </c>
      <c r="T131" s="39" t="s">
        <v>117</v>
      </c>
      <c r="U131" s="39">
        <v>62508</v>
      </c>
      <c r="V131" s="39"/>
      <c r="W131" s="39">
        <v>6875</v>
      </c>
    </row>
    <row r="132" spans="1:23">
      <c r="A132" s="39">
        <v>2010</v>
      </c>
      <c r="B132" s="39" t="s">
        <v>109</v>
      </c>
      <c r="C132" s="39" t="s">
        <v>43</v>
      </c>
      <c r="D132" s="39" t="s">
        <v>117</v>
      </c>
      <c r="E132" s="39">
        <v>62508</v>
      </c>
      <c r="F132" s="39"/>
      <c r="G132" s="39">
        <v>6875</v>
      </c>
      <c r="Q132" s="40">
        <v>2010</v>
      </c>
      <c r="R132" s="40" t="s">
        <v>109</v>
      </c>
      <c r="S132" s="40" t="s">
        <v>43</v>
      </c>
      <c r="T132" s="40" t="s">
        <v>133</v>
      </c>
      <c r="U132" s="40">
        <v>47359</v>
      </c>
      <c r="V132" s="40"/>
      <c r="W132" s="40">
        <v>5209</v>
      </c>
    </row>
    <row r="133" spans="1:23">
      <c r="A133" s="40">
        <v>2010</v>
      </c>
      <c r="B133" s="40" t="s">
        <v>109</v>
      </c>
      <c r="C133" s="40" t="s">
        <v>43</v>
      </c>
      <c r="D133" s="40" t="s">
        <v>133</v>
      </c>
      <c r="E133" s="40">
        <v>47359</v>
      </c>
      <c r="F133" s="40"/>
      <c r="G133" s="40">
        <v>5209</v>
      </c>
      <c r="Q133" s="39">
        <v>2010</v>
      </c>
      <c r="R133" s="39" t="s">
        <v>109</v>
      </c>
      <c r="S133" s="39" t="s">
        <v>43</v>
      </c>
      <c r="T133" s="39" t="s">
        <v>134</v>
      </c>
      <c r="U133" s="39">
        <v>42520</v>
      </c>
      <c r="V133" s="39"/>
      <c r="W133" s="39">
        <v>4677</v>
      </c>
    </row>
    <row r="134" spans="1:23">
      <c r="A134" s="39">
        <v>2010</v>
      </c>
      <c r="B134" s="39" t="s">
        <v>109</v>
      </c>
      <c r="C134" s="39" t="s">
        <v>43</v>
      </c>
      <c r="D134" s="39" t="s">
        <v>134</v>
      </c>
      <c r="E134" s="39">
        <v>42520</v>
      </c>
      <c r="F134" s="39"/>
      <c r="G134" s="39">
        <v>4677</v>
      </c>
      <c r="Q134" s="40">
        <v>2010</v>
      </c>
      <c r="R134" s="40" t="s">
        <v>109</v>
      </c>
      <c r="S134" s="40" t="s">
        <v>43</v>
      </c>
      <c r="T134" s="40" t="s">
        <v>135</v>
      </c>
      <c r="U134" s="40">
        <v>27380</v>
      </c>
      <c r="V134" s="40"/>
      <c r="W134" s="40">
        <v>3011</v>
      </c>
    </row>
    <row r="135" spans="1:23">
      <c r="A135" s="40">
        <v>2010</v>
      </c>
      <c r="B135" s="40" t="s">
        <v>109</v>
      </c>
      <c r="C135" s="40" t="s">
        <v>43</v>
      </c>
      <c r="D135" s="40" t="s">
        <v>135</v>
      </c>
      <c r="E135" s="40">
        <v>27380</v>
      </c>
      <c r="F135" s="40"/>
      <c r="G135" s="40">
        <v>3011</v>
      </c>
      <c r="Q135" s="39">
        <v>2010</v>
      </c>
      <c r="R135" s="39" t="s">
        <v>109</v>
      </c>
      <c r="S135" s="39" t="s">
        <v>43</v>
      </c>
      <c r="T135" s="39" t="s">
        <v>136</v>
      </c>
      <c r="U135" s="39">
        <v>24808</v>
      </c>
      <c r="V135" s="39"/>
      <c r="W135" s="39">
        <v>2728</v>
      </c>
    </row>
    <row r="136" spans="1:23">
      <c r="A136" s="39">
        <v>2010</v>
      </c>
      <c r="B136" s="39" t="s">
        <v>109</v>
      </c>
      <c r="C136" s="39" t="s">
        <v>43</v>
      </c>
      <c r="D136" s="39" t="s">
        <v>136</v>
      </c>
      <c r="E136" s="39">
        <v>24808</v>
      </c>
      <c r="F136" s="39"/>
      <c r="G136" s="39">
        <v>2728</v>
      </c>
      <c r="Q136" s="40">
        <v>2010</v>
      </c>
      <c r="R136" s="40" t="s">
        <v>109</v>
      </c>
      <c r="S136" s="40" t="s">
        <v>43</v>
      </c>
      <c r="T136" s="40" t="s">
        <v>137</v>
      </c>
      <c r="U136" s="40">
        <v>16389</v>
      </c>
      <c r="V136" s="40"/>
      <c r="W136" s="40">
        <v>1802</v>
      </c>
    </row>
    <row r="137" spans="1:23">
      <c r="A137" s="40">
        <v>2010</v>
      </c>
      <c r="B137" s="40" t="s">
        <v>109</v>
      </c>
      <c r="C137" s="40" t="s">
        <v>43</v>
      </c>
      <c r="D137" s="40" t="s">
        <v>137</v>
      </c>
      <c r="E137" s="40">
        <v>16389</v>
      </c>
      <c r="F137" s="40"/>
      <c r="G137" s="40">
        <v>1802</v>
      </c>
      <c r="Q137" s="39">
        <v>2010</v>
      </c>
      <c r="R137" s="39" t="s">
        <v>109</v>
      </c>
      <c r="S137" s="39" t="s">
        <v>43</v>
      </c>
      <c r="T137" s="39" t="s">
        <v>138</v>
      </c>
      <c r="U137" s="39">
        <v>15761</v>
      </c>
      <c r="V137" s="39"/>
      <c r="W137" s="39">
        <v>1733</v>
      </c>
    </row>
    <row r="138" spans="1:23">
      <c r="A138" s="39">
        <v>2010</v>
      </c>
      <c r="B138" s="39" t="s">
        <v>109</v>
      </c>
      <c r="C138" s="39" t="s">
        <v>43</v>
      </c>
      <c r="D138" s="39" t="s">
        <v>138</v>
      </c>
      <c r="E138" s="39">
        <v>15761</v>
      </c>
      <c r="F138" s="39"/>
      <c r="G138" s="39">
        <v>1733</v>
      </c>
      <c r="Q138" s="40">
        <v>2010</v>
      </c>
      <c r="R138" s="40" t="s">
        <v>109</v>
      </c>
      <c r="S138" s="40" t="s">
        <v>43</v>
      </c>
      <c r="T138" s="40" t="s">
        <v>139</v>
      </c>
      <c r="U138" s="40">
        <v>10079</v>
      </c>
      <c r="V138" s="40"/>
      <c r="W138" s="40">
        <v>1108</v>
      </c>
    </row>
    <row r="139" spans="1:23">
      <c r="A139" s="40">
        <v>2010</v>
      </c>
      <c r="B139" s="40" t="s">
        <v>109</v>
      </c>
      <c r="C139" s="40" t="s">
        <v>43</v>
      </c>
      <c r="D139" s="40" t="s">
        <v>139</v>
      </c>
      <c r="E139" s="40">
        <v>10079</v>
      </c>
      <c r="F139" s="40"/>
      <c r="G139" s="40">
        <v>1108</v>
      </c>
      <c r="Q139" s="39">
        <v>2010</v>
      </c>
      <c r="R139" s="39" t="s">
        <v>109</v>
      </c>
      <c r="S139" s="39" t="s">
        <v>43</v>
      </c>
      <c r="T139" s="39" t="s">
        <v>140</v>
      </c>
      <c r="U139" s="39">
        <v>8739</v>
      </c>
      <c r="V139" s="39"/>
      <c r="W139" s="39">
        <v>961</v>
      </c>
    </row>
    <row r="140" spans="1:23">
      <c r="A140" s="39">
        <v>2010</v>
      </c>
      <c r="B140" s="39" t="s">
        <v>109</v>
      </c>
      <c r="C140" s="39" t="s">
        <v>43</v>
      </c>
      <c r="D140" s="39" t="s">
        <v>140</v>
      </c>
      <c r="E140" s="39">
        <v>8739</v>
      </c>
      <c r="F140" s="39"/>
      <c r="G140" s="39">
        <v>961</v>
      </c>
      <c r="Q140" s="40">
        <v>2010</v>
      </c>
      <c r="R140" s="40" t="s">
        <v>109</v>
      </c>
      <c r="S140" s="40" t="s">
        <v>43</v>
      </c>
      <c r="T140" s="40" t="s">
        <v>141</v>
      </c>
      <c r="U140" s="40">
        <v>7442</v>
      </c>
      <c r="V140" s="40"/>
      <c r="W140" s="40">
        <v>818</v>
      </c>
    </row>
    <row r="141" spans="1:23">
      <c r="A141" s="40">
        <v>2010</v>
      </c>
      <c r="B141" s="40" t="s">
        <v>109</v>
      </c>
      <c r="C141" s="40" t="s">
        <v>43</v>
      </c>
      <c r="D141" s="40" t="s">
        <v>141</v>
      </c>
      <c r="E141" s="40">
        <v>7442</v>
      </c>
      <c r="F141" s="40"/>
      <c r="G141" s="40">
        <v>818</v>
      </c>
      <c r="Q141" s="39">
        <v>2010</v>
      </c>
      <c r="R141" s="39" t="s">
        <v>109</v>
      </c>
      <c r="S141" s="39" t="s">
        <v>43</v>
      </c>
      <c r="T141" s="39" t="s">
        <v>142</v>
      </c>
      <c r="U141" s="39">
        <v>6003</v>
      </c>
      <c r="V141" s="39"/>
      <c r="W141" s="39">
        <v>780</v>
      </c>
    </row>
    <row r="142" spans="1:23">
      <c r="A142" s="39">
        <v>2010</v>
      </c>
      <c r="B142" s="39" t="s">
        <v>109</v>
      </c>
      <c r="C142" s="39" t="s">
        <v>43</v>
      </c>
      <c r="D142" s="39" t="s">
        <v>142</v>
      </c>
      <c r="E142" s="39">
        <v>6003</v>
      </c>
      <c r="F142" s="39"/>
      <c r="G142" s="39">
        <v>780</v>
      </c>
      <c r="Q142" s="40">
        <v>2010</v>
      </c>
      <c r="R142" s="40" t="s">
        <v>109</v>
      </c>
      <c r="S142" s="40" t="s">
        <v>43</v>
      </c>
      <c r="T142" s="40" t="s">
        <v>143</v>
      </c>
      <c r="U142" s="40">
        <v>3571</v>
      </c>
      <c r="V142" s="40"/>
      <c r="W142" s="40">
        <v>464</v>
      </c>
    </row>
    <row r="143" spans="1:23">
      <c r="A143" s="40">
        <v>2010</v>
      </c>
      <c r="B143" s="40" t="s">
        <v>109</v>
      </c>
      <c r="C143" s="40" t="s">
        <v>43</v>
      </c>
      <c r="D143" s="40" t="s">
        <v>143</v>
      </c>
      <c r="E143" s="40">
        <v>3571</v>
      </c>
      <c r="F143" s="40"/>
      <c r="G143" s="40">
        <v>464</v>
      </c>
      <c r="Q143" s="39">
        <v>2010</v>
      </c>
      <c r="R143" s="39" t="s">
        <v>109</v>
      </c>
      <c r="S143" s="39" t="s">
        <v>43</v>
      </c>
      <c r="T143" s="39" t="s">
        <v>144</v>
      </c>
      <c r="U143" s="39">
        <v>2303</v>
      </c>
      <c r="V143" s="39"/>
      <c r="W143" s="39">
        <v>299</v>
      </c>
    </row>
    <row r="144" spans="1:23">
      <c r="A144" s="39">
        <v>2010</v>
      </c>
      <c r="B144" s="39" t="s">
        <v>109</v>
      </c>
      <c r="C144" s="39" t="s">
        <v>43</v>
      </c>
      <c r="D144" s="39" t="s">
        <v>144</v>
      </c>
      <c r="E144" s="39">
        <v>2303</v>
      </c>
      <c r="F144" s="39"/>
      <c r="G144" s="39">
        <v>299</v>
      </c>
      <c r="Q144" s="40">
        <v>2010</v>
      </c>
      <c r="R144" s="40" t="s">
        <v>109</v>
      </c>
      <c r="S144" s="40" t="s">
        <v>43</v>
      </c>
      <c r="T144" s="40" t="s">
        <v>145</v>
      </c>
      <c r="U144" s="40">
        <v>961</v>
      </c>
      <c r="V144" s="40"/>
      <c r="W144" s="40">
        <v>124</v>
      </c>
    </row>
    <row r="145" spans="1:23">
      <c r="A145" s="40">
        <v>2010</v>
      </c>
      <c r="B145" s="40" t="s">
        <v>109</v>
      </c>
      <c r="C145" s="40" t="s">
        <v>43</v>
      </c>
      <c r="D145" s="40" t="s">
        <v>145</v>
      </c>
      <c r="E145" s="40">
        <v>961</v>
      </c>
      <c r="F145" s="40"/>
      <c r="G145" s="40">
        <v>124</v>
      </c>
      <c r="Q145" s="39">
        <v>2010</v>
      </c>
      <c r="R145" s="39" t="s">
        <v>109</v>
      </c>
      <c r="S145" s="39" t="s">
        <v>43</v>
      </c>
      <c r="T145" s="39" t="s">
        <v>146</v>
      </c>
      <c r="U145" s="39">
        <v>584</v>
      </c>
      <c r="V145" s="39"/>
      <c r="W145" s="39">
        <v>75</v>
      </c>
    </row>
    <row r="146" spans="1:23">
      <c r="A146" s="39">
        <v>2010</v>
      </c>
      <c r="B146" s="39" t="s">
        <v>109</v>
      </c>
      <c r="C146" s="39" t="s">
        <v>43</v>
      </c>
      <c r="D146" s="39" t="s">
        <v>146</v>
      </c>
      <c r="E146" s="39">
        <v>584</v>
      </c>
      <c r="F146" s="39"/>
      <c r="G146" s="39">
        <v>75</v>
      </c>
      <c r="Q146" s="40">
        <v>2010</v>
      </c>
      <c r="R146" s="40" t="s">
        <v>109</v>
      </c>
      <c r="S146" s="40" t="s">
        <v>43</v>
      </c>
      <c r="T146" s="40" t="s">
        <v>147</v>
      </c>
      <c r="U146" s="40">
        <v>481</v>
      </c>
      <c r="V146" s="40"/>
      <c r="W146" s="40">
        <v>62</v>
      </c>
    </row>
    <row r="147" spans="1:23">
      <c r="A147" s="40">
        <v>2010</v>
      </c>
      <c r="B147" s="40" t="s">
        <v>109</v>
      </c>
      <c r="C147" s="40" t="s">
        <v>43</v>
      </c>
      <c r="D147" s="40" t="s">
        <v>147</v>
      </c>
      <c r="E147" s="40">
        <v>481</v>
      </c>
      <c r="F147" s="40"/>
      <c r="G147" s="40">
        <v>62</v>
      </c>
      <c r="Q147" s="39"/>
      <c r="R147" s="39"/>
      <c r="S147" s="39"/>
      <c r="T147" s="39"/>
      <c r="U147" s="39"/>
      <c r="V147" s="39"/>
      <c r="W147" s="39"/>
    </row>
    <row r="148" spans="1:23">
      <c r="A148" s="39"/>
      <c r="B148" s="39"/>
      <c r="C148" s="39"/>
      <c r="D148" s="39"/>
      <c r="E148" s="39"/>
      <c r="F148" s="39"/>
      <c r="G148" s="39"/>
      <c r="Q148" s="40">
        <v>2010</v>
      </c>
      <c r="R148" s="40" t="s">
        <v>108</v>
      </c>
      <c r="S148" s="40" t="s">
        <v>43</v>
      </c>
      <c r="T148" s="40" t="s">
        <v>130</v>
      </c>
      <c r="U148" s="40">
        <v>81609</v>
      </c>
      <c r="V148" s="40"/>
      <c r="W148" s="40">
        <v>10609</v>
      </c>
    </row>
    <row r="149" spans="1:23">
      <c r="A149" s="40">
        <v>2010</v>
      </c>
      <c r="B149" s="40" t="s">
        <v>108</v>
      </c>
      <c r="C149" s="40" t="s">
        <v>43</v>
      </c>
      <c r="D149" s="40" t="s">
        <v>130</v>
      </c>
      <c r="E149" s="40">
        <v>81609</v>
      </c>
      <c r="F149" s="40"/>
      <c r="G149" s="40">
        <v>10609</v>
      </c>
      <c r="Q149" s="39">
        <v>2010</v>
      </c>
      <c r="R149" s="39" t="s">
        <v>108</v>
      </c>
      <c r="S149" s="39" t="s">
        <v>43</v>
      </c>
      <c r="T149" s="39" t="s">
        <v>131</v>
      </c>
      <c r="U149" s="39">
        <v>58713</v>
      </c>
      <c r="V149" s="39"/>
      <c r="W149" s="39">
        <v>6458</v>
      </c>
    </row>
    <row r="150" spans="1:23">
      <c r="A150" s="39">
        <v>2010</v>
      </c>
      <c r="B150" s="39" t="s">
        <v>108</v>
      </c>
      <c r="C150" s="39" t="s">
        <v>43</v>
      </c>
      <c r="D150" s="39" t="s">
        <v>131</v>
      </c>
      <c r="E150" s="39">
        <v>58713</v>
      </c>
      <c r="F150" s="39"/>
      <c r="G150" s="39">
        <v>6458</v>
      </c>
      <c r="Q150" s="40">
        <v>2010</v>
      </c>
      <c r="R150" s="40" t="s">
        <v>108</v>
      </c>
      <c r="S150" s="40" t="s">
        <v>43</v>
      </c>
      <c r="T150" s="40" t="s">
        <v>132</v>
      </c>
      <c r="U150" s="40">
        <v>46360</v>
      </c>
      <c r="V150" s="40"/>
      <c r="W150" s="40">
        <v>5099</v>
      </c>
    </row>
    <row r="151" spans="1:23">
      <c r="A151" s="40">
        <v>2010</v>
      </c>
      <c r="B151" s="40" t="s">
        <v>108</v>
      </c>
      <c r="C151" s="40" t="s">
        <v>43</v>
      </c>
      <c r="D151" s="40" t="s">
        <v>132</v>
      </c>
      <c r="E151" s="40">
        <v>46360</v>
      </c>
      <c r="F151" s="40"/>
      <c r="G151" s="40">
        <v>5099</v>
      </c>
      <c r="Q151" s="39">
        <v>2010</v>
      </c>
      <c r="R151" s="39" t="s">
        <v>108</v>
      </c>
      <c r="S151" s="39" t="s">
        <v>43</v>
      </c>
      <c r="T151" s="39" t="s">
        <v>117</v>
      </c>
      <c r="U151" s="39">
        <v>40302</v>
      </c>
      <c r="V151" s="39"/>
      <c r="W151" s="39">
        <v>4433</v>
      </c>
    </row>
    <row r="152" spans="1:23">
      <c r="A152" s="39">
        <v>2010</v>
      </c>
      <c r="B152" s="39" t="s">
        <v>108</v>
      </c>
      <c r="C152" s="39" t="s">
        <v>43</v>
      </c>
      <c r="D152" s="39" t="s">
        <v>117</v>
      </c>
      <c r="E152" s="39">
        <v>40302</v>
      </c>
      <c r="F152" s="39"/>
      <c r="G152" s="39">
        <v>4433</v>
      </c>
      <c r="Q152" s="40">
        <v>2010</v>
      </c>
      <c r="R152" s="40" t="s">
        <v>108</v>
      </c>
      <c r="S152" s="40" t="s">
        <v>43</v>
      </c>
      <c r="T152" s="40" t="s">
        <v>133</v>
      </c>
      <c r="U152" s="40">
        <v>31350</v>
      </c>
      <c r="V152" s="40"/>
      <c r="W152" s="40">
        <v>3448</v>
      </c>
    </row>
    <row r="153" spans="1:23">
      <c r="A153" s="40">
        <v>2010</v>
      </c>
      <c r="B153" s="40" t="s">
        <v>108</v>
      </c>
      <c r="C153" s="40" t="s">
        <v>43</v>
      </c>
      <c r="D153" s="40" t="s">
        <v>133</v>
      </c>
      <c r="E153" s="40">
        <v>31350</v>
      </c>
      <c r="F153" s="40"/>
      <c r="G153" s="40">
        <v>3448</v>
      </c>
      <c r="Q153" s="39">
        <v>2010</v>
      </c>
      <c r="R153" s="39" t="s">
        <v>108</v>
      </c>
      <c r="S153" s="39" t="s">
        <v>43</v>
      </c>
      <c r="T153" s="39" t="s">
        <v>134</v>
      </c>
      <c r="U153" s="39">
        <v>28695</v>
      </c>
      <c r="V153" s="39"/>
      <c r="W153" s="39">
        <v>3156</v>
      </c>
    </row>
    <row r="154" spans="1:23">
      <c r="A154" s="39">
        <v>2010</v>
      </c>
      <c r="B154" s="39" t="s">
        <v>108</v>
      </c>
      <c r="C154" s="39" t="s">
        <v>43</v>
      </c>
      <c r="D154" s="39" t="s">
        <v>134</v>
      </c>
      <c r="E154" s="39">
        <v>28695</v>
      </c>
      <c r="F154" s="39"/>
      <c r="G154" s="39">
        <v>3156</v>
      </c>
      <c r="Q154" s="40">
        <v>2010</v>
      </c>
      <c r="R154" s="40" t="s">
        <v>108</v>
      </c>
      <c r="S154" s="40" t="s">
        <v>43</v>
      </c>
      <c r="T154" s="40" t="s">
        <v>135</v>
      </c>
      <c r="U154" s="40">
        <v>18680</v>
      </c>
      <c r="V154" s="40"/>
      <c r="W154" s="40">
        <v>2054</v>
      </c>
    </row>
    <row r="155" spans="1:23">
      <c r="A155" s="40">
        <v>2010</v>
      </c>
      <c r="B155" s="40" t="s">
        <v>108</v>
      </c>
      <c r="C155" s="40" t="s">
        <v>43</v>
      </c>
      <c r="D155" s="40" t="s">
        <v>135</v>
      </c>
      <c r="E155" s="40">
        <v>18680</v>
      </c>
      <c r="F155" s="40"/>
      <c r="G155" s="40">
        <v>2054</v>
      </c>
      <c r="Q155" s="39">
        <v>2010</v>
      </c>
      <c r="R155" s="39" t="s">
        <v>108</v>
      </c>
      <c r="S155" s="39" t="s">
        <v>43</v>
      </c>
      <c r="T155" s="39" t="s">
        <v>136</v>
      </c>
      <c r="U155" s="39">
        <v>16346</v>
      </c>
      <c r="V155" s="39"/>
      <c r="W155" s="39">
        <v>1798</v>
      </c>
    </row>
    <row r="156" spans="1:23">
      <c r="A156" s="39">
        <v>2010</v>
      </c>
      <c r="B156" s="39" t="s">
        <v>108</v>
      </c>
      <c r="C156" s="39" t="s">
        <v>43</v>
      </c>
      <c r="D156" s="39" t="s">
        <v>136</v>
      </c>
      <c r="E156" s="39">
        <v>16346</v>
      </c>
      <c r="F156" s="39"/>
      <c r="G156" s="39">
        <v>1798</v>
      </c>
      <c r="Q156" s="40">
        <v>2010</v>
      </c>
      <c r="R156" s="40" t="s">
        <v>108</v>
      </c>
      <c r="S156" s="40" t="s">
        <v>43</v>
      </c>
      <c r="T156" s="40" t="s">
        <v>137</v>
      </c>
      <c r="U156" s="40">
        <v>10695</v>
      </c>
      <c r="V156" s="40"/>
      <c r="W156" s="40">
        <v>1176</v>
      </c>
    </row>
    <row r="157" spans="1:23">
      <c r="A157" s="40">
        <v>2010</v>
      </c>
      <c r="B157" s="40" t="s">
        <v>108</v>
      </c>
      <c r="C157" s="40" t="s">
        <v>43</v>
      </c>
      <c r="D157" s="40" t="s">
        <v>137</v>
      </c>
      <c r="E157" s="40">
        <v>10695</v>
      </c>
      <c r="F157" s="40"/>
      <c r="G157" s="40">
        <v>1176</v>
      </c>
      <c r="Q157" s="39">
        <v>2010</v>
      </c>
      <c r="R157" s="39" t="s">
        <v>108</v>
      </c>
      <c r="S157" s="39" t="s">
        <v>43</v>
      </c>
      <c r="T157" s="39" t="s">
        <v>138</v>
      </c>
      <c r="U157" s="39">
        <v>9846</v>
      </c>
      <c r="V157" s="39"/>
      <c r="W157" s="39">
        <v>1083</v>
      </c>
    </row>
    <row r="158" spans="1:23">
      <c r="A158" s="39">
        <v>2010</v>
      </c>
      <c r="B158" s="39" t="s">
        <v>108</v>
      </c>
      <c r="C158" s="39" t="s">
        <v>43</v>
      </c>
      <c r="D158" s="39" t="s">
        <v>138</v>
      </c>
      <c r="E158" s="39">
        <v>9846</v>
      </c>
      <c r="F158" s="39"/>
      <c r="G158" s="39">
        <v>1083</v>
      </c>
      <c r="Q158" s="40">
        <v>2010</v>
      </c>
      <c r="R158" s="40" t="s">
        <v>108</v>
      </c>
      <c r="S158" s="40" t="s">
        <v>43</v>
      </c>
      <c r="T158" s="40" t="s">
        <v>139</v>
      </c>
      <c r="U158" s="40">
        <v>6479</v>
      </c>
      <c r="V158" s="40"/>
      <c r="W158" s="40">
        <v>712</v>
      </c>
    </row>
    <row r="159" spans="1:23">
      <c r="A159" s="40">
        <v>2010</v>
      </c>
      <c r="B159" s="40" t="s">
        <v>108</v>
      </c>
      <c r="C159" s="40" t="s">
        <v>43</v>
      </c>
      <c r="D159" s="40" t="s">
        <v>139</v>
      </c>
      <c r="E159" s="40">
        <v>6479</v>
      </c>
      <c r="F159" s="40"/>
      <c r="G159" s="40">
        <v>712</v>
      </c>
      <c r="Q159" s="39">
        <v>2010</v>
      </c>
      <c r="R159" s="39" t="s">
        <v>108</v>
      </c>
      <c r="S159" s="39" t="s">
        <v>43</v>
      </c>
      <c r="T159" s="39" t="s">
        <v>140</v>
      </c>
      <c r="U159" s="39">
        <v>5321</v>
      </c>
      <c r="V159" s="39"/>
      <c r="W159" s="39">
        <v>585</v>
      </c>
    </row>
    <row r="160" spans="1:23">
      <c r="A160" s="39">
        <v>2010</v>
      </c>
      <c r="B160" s="39" t="s">
        <v>108</v>
      </c>
      <c r="C160" s="39" t="s">
        <v>43</v>
      </c>
      <c r="D160" s="39" t="s">
        <v>140</v>
      </c>
      <c r="E160" s="39">
        <v>5321</v>
      </c>
      <c r="F160" s="39"/>
      <c r="G160" s="39">
        <v>585</v>
      </c>
      <c r="Q160" s="40">
        <v>2010</v>
      </c>
      <c r="R160" s="40" t="s">
        <v>108</v>
      </c>
      <c r="S160" s="40" t="s">
        <v>43</v>
      </c>
      <c r="T160" s="40" t="s">
        <v>141</v>
      </c>
      <c r="U160" s="40">
        <v>4560</v>
      </c>
      <c r="V160" s="40"/>
      <c r="W160" s="40">
        <v>501</v>
      </c>
    </row>
    <row r="161" spans="1:23">
      <c r="A161" s="40">
        <v>2010</v>
      </c>
      <c r="B161" s="40" t="s">
        <v>108</v>
      </c>
      <c r="C161" s="40" t="s">
        <v>43</v>
      </c>
      <c r="D161" s="40" t="s">
        <v>141</v>
      </c>
      <c r="E161" s="40">
        <v>4560</v>
      </c>
      <c r="F161" s="40"/>
      <c r="G161" s="40">
        <v>501</v>
      </c>
      <c r="Q161" s="39">
        <v>2010</v>
      </c>
      <c r="R161" s="39" t="s">
        <v>108</v>
      </c>
      <c r="S161" s="39" t="s">
        <v>43</v>
      </c>
      <c r="T161" s="39" t="s">
        <v>142</v>
      </c>
      <c r="U161" s="39">
        <v>3928</v>
      </c>
      <c r="V161" s="39"/>
      <c r="W161" s="39">
        <v>510</v>
      </c>
    </row>
    <row r="162" spans="1:23">
      <c r="A162" s="39">
        <v>2010</v>
      </c>
      <c r="B162" s="39" t="s">
        <v>108</v>
      </c>
      <c r="C162" s="39" t="s">
        <v>43</v>
      </c>
      <c r="D162" s="39" t="s">
        <v>142</v>
      </c>
      <c r="E162" s="39">
        <v>3928</v>
      </c>
      <c r="F162" s="39"/>
      <c r="G162" s="39">
        <v>510</v>
      </c>
      <c r="Q162" s="40">
        <v>2010</v>
      </c>
      <c r="R162" s="40" t="s">
        <v>108</v>
      </c>
      <c r="S162" s="40" t="s">
        <v>43</v>
      </c>
      <c r="T162" s="40" t="s">
        <v>143</v>
      </c>
      <c r="U162" s="40">
        <v>2496</v>
      </c>
      <c r="V162" s="40"/>
      <c r="W162" s="40">
        <v>324</v>
      </c>
    </row>
    <row r="163" spans="1:23">
      <c r="A163" s="40">
        <v>2010</v>
      </c>
      <c r="B163" s="40" t="s">
        <v>108</v>
      </c>
      <c r="C163" s="40" t="s">
        <v>43</v>
      </c>
      <c r="D163" s="40" t="s">
        <v>143</v>
      </c>
      <c r="E163" s="40">
        <v>2496</v>
      </c>
      <c r="F163" s="40"/>
      <c r="G163" s="40">
        <v>324</v>
      </c>
      <c r="Q163" s="39">
        <v>2010</v>
      </c>
      <c r="R163" s="39" t="s">
        <v>108</v>
      </c>
      <c r="S163" s="39" t="s">
        <v>43</v>
      </c>
      <c r="T163" s="39" t="s">
        <v>144</v>
      </c>
      <c r="U163" s="39">
        <v>1850</v>
      </c>
      <c r="V163" s="39"/>
      <c r="W163" s="39">
        <v>240</v>
      </c>
    </row>
    <row r="164" spans="1:23">
      <c r="A164" s="39">
        <v>2010</v>
      </c>
      <c r="B164" s="39" t="s">
        <v>108</v>
      </c>
      <c r="C164" s="39" t="s">
        <v>43</v>
      </c>
      <c r="D164" s="39" t="s">
        <v>144</v>
      </c>
      <c r="E164" s="39">
        <v>1850</v>
      </c>
      <c r="F164" s="39"/>
      <c r="G164" s="39">
        <v>240</v>
      </c>
      <c r="Q164" s="40">
        <v>2010</v>
      </c>
      <c r="R164" s="40" t="s">
        <v>108</v>
      </c>
      <c r="S164" s="40" t="s">
        <v>43</v>
      </c>
      <c r="T164" s="40" t="s">
        <v>145</v>
      </c>
      <c r="U164" s="40">
        <v>752</v>
      </c>
      <c r="V164" s="40"/>
      <c r="W164" s="40">
        <v>97</v>
      </c>
    </row>
    <row r="165" spans="1:23">
      <c r="A165" s="40">
        <v>2010</v>
      </c>
      <c r="B165" s="40" t="s">
        <v>108</v>
      </c>
      <c r="C165" s="40" t="s">
        <v>43</v>
      </c>
      <c r="D165" s="40" t="s">
        <v>145</v>
      </c>
      <c r="E165" s="40">
        <v>752</v>
      </c>
      <c r="F165" s="40"/>
      <c r="G165" s="40">
        <v>97</v>
      </c>
      <c r="Q165" s="39">
        <v>2010</v>
      </c>
      <c r="R165" s="39" t="s">
        <v>108</v>
      </c>
      <c r="S165" s="39" t="s">
        <v>43</v>
      </c>
      <c r="T165" s="39" t="s">
        <v>146</v>
      </c>
      <c r="U165" s="39">
        <v>434</v>
      </c>
      <c r="V165" s="39"/>
      <c r="W165" s="39">
        <v>56</v>
      </c>
    </row>
    <row r="166" spans="1:23">
      <c r="A166" s="39">
        <v>2010</v>
      </c>
      <c r="B166" s="39" t="s">
        <v>108</v>
      </c>
      <c r="C166" s="39" t="s">
        <v>43</v>
      </c>
      <c r="D166" s="39" t="s">
        <v>146</v>
      </c>
      <c r="E166" s="39">
        <v>434</v>
      </c>
      <c r="F166" s="39"/>
      <c r="G166" s="39">
        <v>56</v>
      </c>
      <c r="Q166" s="40">
        <v>2010</v>
      </c>
      <c r="R166" s="40" t="s">
        <v>108</v>
      </c>
      <c r="S166" s="40" t="s">
        <v>43</v>
      </c>
      <c r="T166" s="40" t="s">
        <v>147</v>
      </c>
      <c r="U166" s="40">
        <v>487</v>
      </c>
      <c r="V166" s="40"/>
      <c r="W166" s="40">
        <v>63</v>
      </c>
    </row>
    <row r="167" spans="1:23">
      <c r="A167" s="40">
        <v>2010</v>
      </c>
      <c r="B167" s="40" t="s">
        <v>108</v>
      </c>
      <c r="C167" s="40" t="s">
        <v>43</v>
      </c>
      <c r="D167" s="40" t="s">
        <v>147</v>
      </c>
      <c r="E167" s="40">
        <v>487</v>
      </c>
      <c r="F167" s="40"/>
      <c r="G167" s="40">
        <v>63</v>
      </c>
      <c r="Q167" s="39"/>
      <c r="R167" s="39"/>
      <c r="S167" s="39"/>
      <c r="T167" s="39"/>
      <c r="U167" s="39"/>
      <c r="V167" s="39"/>
      <c r="W167" s="39"/>
    </row>
    <row r="168" spans="1:23">
      <c r="A168" s="39"/>
      <c r="B168" s="39"/>
      <c r="C168" s="39"/>
      <c r="D168" s="39"/>
      <c r="E168" s="39"/>
      <c r="F168" s="39"/>
      <c r="G168" s="39"/>
      <c r="Q168" s="40">
        <v>2010</v>
      </c>
      <c r="R168" s="40" t="s">
        <v>110</v>
      </c>
      <c r="S168" s="40" t="s">
        <v>43</v>
      </c>
      <c r="T168" s="40" t="s">
        <v>130</v>
      </c>
      <c r="U168" s="40">
        <v>172362</v>
      </c>
      <c r="V168" s="40"/>
      <c r="W168" s="40">
        <v>22407</v>
      </c>
    </row>
    <row r="169" spans="1:23">
      <c r="A169" s="40">
        <v>2010</v>
      </c>
      <c r="B169" s="40" t="s">
        <v>110</v>
      </c>
      <c r="C169" s="40" t="s">
        <v>43</v>
      </c>
      <c r="D169" s="40" t="s">
        <v>130</v>
      </c>
      <c r="E169" s="40">
        <v>172362</v>
      </c>
      <c r="F169" s="40"/>
      <c r="G169" s="40">
        <v>22407</v>
      </c>
      <c r="Q169" s="39">
        <v>2010</v>
      </c>
      <c r="R169" s="39" t="s">
        <v>110</v>
      </c>
      <c r="S169" s="39" t="s">
        <v>43</v>
      </c>
      <c r="T169" s="39" t="s">
        <v>131</v>
      </c>
      <c r="U169" s="39">
        <v>124846</v>
      </c>
      <c r="V169" s="39"/>
      <c r="W169" s="39">
        <v>13733</v>
      </c>
    </row>
    <row r="170" spans="1:23">
      <c r="A170" s="39">
        <v>2010</v>
      </c>
      <c r="B170" s="39" t="s">
        <v>110</v>
      </c>
      <c r="C170" s="39" t="s">
        <v>43</v>
      </c>
      <c r="D170" s="39" t="s">
        <v>131</v>
      </c>
      <c r="E170" s="39">
        <v>124846</v>
      </c>
      <c r="F170" s="39"/>
      <c r="G170" s="39">
        <v>13733</v>
      </c>
      <c r="Q170" s="40">
        <v>2010</v>
      </c>
      <c r="R170" s="40" t="s">
        <v>110</v>
      </c>
      <c r="S170" s="40" t="s">
        <v>43</v>
      </c>
      <c r="T170" s="40" t="s">
        <v>132</v>
      </c>
      <c r="U170" s="40">
        <v>102855</v>
      </c>
      <c r="V170" s="40"/>
      <c r="W170" s="40">
        <v>11314</v>
      </c>
    </row>
    <row r="171" spans="1:23">
      <c r="A171" s="40">
        <v>2010</v>
      </c>
      <c r="B171" s="40" t="s">
        <v>110</v>
      </c>
      <c r="C171" s="40" t="s">
        <v>43</v>
      </c>
      <c r="D171" s="40" t="s">
        <v>132</v>
      </c>
      <c r="E171" s="40">
        <v>102855</v>
      </c>
      <c r="F171" s="40"/>
      <c r="G171" s="40">
        <v>11314</v>
      </c>
      <c r="Q171" s="39">
        <v>2010</v>
      </c>
      <c r="R171" s="39" t="s">
        <v>110</v>
      </c>
      <c r="S171" s="39" t="s">
        <v>43</v>
      </c>
      <c r="T171" s="39" t="s">
        <v>117</v>
      </c>
      <c r="U171" s="39">
        <v>93318</v>
      </c>
      <c r="V171" s="39"/>
      <c r="W171" s="39">
        <v>10264</v>
      </c>
    </row>
    <row r="172" spans="1:23">
      <c r="A172" s="39">
        <v>2010</v>
      </c>
      <c r="B172" s="39" t="s">
        <v>110</v>
      </c>
      <c r="C172" s="39" t="s">
        <v>43</v>
      </c>
      <c r="D172" s="39" t="s">
        <v>117</v>
      </c>
      <c r="E172" s="39">
        <v>93318</v>
      </c>
      <c r="F172" s="39"/>
      <c r="G172" s="39">
        <v>10264</v>
      </c>
      <c r="Q172" s="40">
        <v>2010</v>
      </c>
      <c r="R172" s="40" t="s">
        <v>110</v>
      </c>
      <c r="S172" s="40" t="s">
        <v>43</v>
      </c>
      <c r="T172" s="40" t="s">
        <v>133</v>
      </c>
      <c r="U172" s="40">
        <v>72916</v>
      </c>
      <c r="V172" s="40"/>
      <c r="W172" s="40">
        <v>8020</v>
      </c>
    </row>
    <row r="173" spans="1:23">
      <c r="A173" s="40">
        <v>2010</v>
      </c>
      <c r="B173" s="40" t="s">
        <v>110</v>
      </c>
      <c r="C173" s="40" t="s">
        <v>43</v>
      </c>
      <c r="D173" s="40" t="s">
        <v>133</v>
      </c>
      <c r="E173" s="40">
        <v>72916</v>
      </c>
      <c r="F173" s="40"/>
      <c r="G173" s="40">
        <v>8020</v>
      </c>
      <c r="Q173" s="39">
        <v>2010</v>
      </c>
      <c r="R173" s="39" t="s">
        <v>110</v>
      </c>
      <c r="S173" s="39" t="s">
        <v>43</v>
      </c>
      <c r="T173" s="39" t="s">
        <v>134</v>
      </c>
      <c r="U173" s="39">
        <v>63790</v>
      </c>
      <c r="V173" s="39"/>
      <c r="W173" s="39">
        <v>7016</v>
      </c>
    </row>
    <row r="174" spans="1:23">
      <c r="A174" s="39">
        <v>2010</v>
      </c>
      <c r="B174" s="39" t="s">
        <v>110</v>
      </c>
      <c r="C174" s="39" t="s">
        <v>43</v>
      </c>
      <c r="D174" s="39" t="s">
        <v>134</v>
      </c>
      <c r="E174" s="39">
        <v>63790</v>
      </c>
      <c r="F174" s="39"/>
      <c r="G174" s="39">
        <v>7016</v>
      </c>
      <c r="Q174" s="40">
        <v>2010</v>
      </c>
      <c r="R174" s="40" t="s">
        <v>110</v>
      </c>
      <c r="S174" s="40" t="s">
        <v>43</v>
      </c>
      <c r="T174" s="40" t="s">
        <v>135</v>
      </c>
      <c r="U174" s="40">
        <v>45472</v>
      </c>
      <c r="V174" s="40"/>
      <c r="W174" s="40">
        <v>5001</v>
      </c>
    </row>
    <row r="175" spans="1:23">
      <c r="A175" s="40">
        <v>2010</v>
      </c>
      <c r="B175" s="40" t="s">
        <v>110</v>
      </c>
      <c r="C175" s="40" t="s">
        <v>43</v>
      </c>
      <c r="D175" s="40" t="s">
        <v>135</v>
      </c>
      <c r="E175" s="40">
        <v>45472</v>
      </c>
      <c r="F175" s="40"/>
      <c r="G175" s="40">
        <v>5001</v>
      </c>
      <c r="Q175" s="39">
        <v>2010</v>
      </c>
      <c r="R175" s="39" t="s">
        <v>110</v>
      </c>
      <c r="S175" s="39" t="s">
        <v>43</v>
      </c>
      <c r="T175" s="39" t="s">
        <v>136</v>
      </c>
      <c r="U175" s="39">
        <v>35493</v>
      </c>
      <c r="V175" s="39"/>
      <c r="W175" s="39">
        <v>3904</v>
      </c>
    </row>
    <row r="176" spans="1:23">
      <c r="A176" s="39">
        <v>2010</v>
      </c>
      <c r="B176" s="39" t="s">
        <v>110</v>
      </c>
      <c r="C176" s="39" t="s">
        <v>43</v>
      </c>
      <c r="D176" s="39" t="s">
        <v>136</v>
      </c>
      <c r="E176" s="39">
        <v>35493</v>
      </c>
      <c r="F176" s="39"/>
      <c r="G176" s="39">
        <v>3904</v>
      </c>
      <c r="Q176" s="40">
        <v>2010</v>
      </c>
      <c r="R176" s="40" t="s">
        <v>110</v>
      </c>
      <c r="S176" s="40" t="s">
        <v>43</v>
      </c>
      <c r="T176" s="40" t="s">
        <v>137</v>
      </c>
      <c r="U176" s="40">
        <v>23989</v>
      </c>
      <c r="V176" s="40"/>
      <c r="W176" s="40">
        <v>2638</v>
      </c>
    </row>
    <row r="177" spans="1:23">
      <c r="A177" s="40">
        <v>2010</v>
      </c>
      <c r="B177" s="40" t="s">
        <v>110</v>
      </c>
      <c r="C177" s="40" t="s">
        <v>43</v>
      </c>
      <c r="D177" s="40" t="s">
        <v>137</v>
      </c>
      <c r="E177" s="40">
        <v>23989</v>
      </c>
      <c r="F177" s="40"/>
      <c r="G177" s="40">
        <v>2638</v>
      </c>
      <c r="Q177" s="39">
        <v>2010</v>
      </c>
      <c r="R177" s="39" t="s">
        <v>110</v>
      </c>
      <c r="S177" s="39" t="s">
        <v>43</v>
      </c>
      <c r="T177" s="39" t="s">
        <v>138</v>
      </c>
      <c r="U177" s="39">
        <v>20845</v>
      </c>
      <c r="V177" s="39"/>
      <c r="W177" s="39">
        <v>2292</v>
      </c>
    </row>
    <row r="178" spans="1:23">
      <c r="A178" s="39">
        <v>2010</v>
      </c>
      <c r="B178" s="39" t="s">
        <v>110</v>
      </c>
      <c r="C178" s="39" t="s">
        <v>43</v>
      </c>
      <c r="D178" s="39" t="s">
        <v>138</v>
      </c>
      <c r="E178" s="39">
        <v>20845</v>
      </c>
      <c r="F178" s="39"/>
      <c r="G178" s="39">
        <v>2292</v>
      </c>
      <c r="Q178" s="40">
        <v>2010</v>
      </c>
      <c r="R178" s="40" t="s">
        <v>110</v>
      </c>
      <c r="S178" s="40" t="s">
        <v>43</v>
      </c>
      <c r="T178" s="40" t="s">
        <v>139</v>
      </c>
      <c r="U178" s="40">
        <v>14565</v>
      </c>
      <c r="V178" s="40"/>
      <c r="W178" s="40">
        <v>1602</v>
      </c>
    </row>
    <row r="179" spans="1:23">
      <c r="A179" s="40">
        <v>2010</v>
      </c>
      <c r="B179" s="40" t="s">
        <v>110</v>
      </c>
      <c r="C179" s="40" t="s">
        <v>43</v>
      </c>
      <c r="D179" s="40" t="s">
        <v>139</v>
      </c>
      <c r="E179" s="40">
        <v>14565</v>
      </c>
      <c r="F179" s="40"/>
      <c r="G179" s="40">
        <v>1602</v>
      </c>
      <c r="Q179" s="39">
        <v>2010</v>
      </c>
      <c r="R179" s="39" t="s">
        <v>110</v>
      </c>
      <c r="S179" s="39" t="s">
        <v>43</v>
      </c>
      <c r="T179" s="39" t="s">
        <v>140</v>
      </c>
      <c r="U179" s="39">
        <v>10214</v>
      </c>
      <c r="V179" s="39"/>
      <c r="W179" s="39">
        <v>1123</v>
      </c>
    </row>
    <row r="180" spans="1:23">
      <c r="A180" s="39">
        <v>2010</v>
      </c>
      <c r="B180" s="39" t="s">
        <v>110</v>
      </c>
      <c r="C180" s="39" t="s">
        <v>43</v>
      </c>
      <c r="D180" s="39" t="s">
        <v>140</v>
      </c>
      <c r="E180" s="39">
        <v>10214</v>
      </c>
      <c r="F180" s="39"/>
      <c r="G180" s="39">
        <v>1123</v>
      </c>
      <c r="Q180" s="40">
        <v>2010</v>
      </c>
      <c r="R180" s="40" t="s">
        <v>110</v>
      </c>
      <c r="S180" s="40" t="s">
        <v>43</v>
      </c>
      <c r="T180" s="40" t="s">
        <v>141</v>
      </c>
      <c r="U180" s="40">
        <v>9225</v>
      </c>
      <c r="V180" s="40"/>
      <c r="W180" s="40">
        <v>1014</v>
      </c>
    </row>
    <row r="181" spans="1:23">
      <c r="A181" s="40">
        <v>2010</v>
      </c>
      <c r="B181" s="40" t="s">
        <v>110</v>
      </c>
      <c r="C181" s="40" t="s">
        <v>43</v>
      </c>
      <c r="D181" s="40" t="s">
        <v>141</v>
      </c>
      <c r="E181" s="40">
        <v>9225</v>
      </c>
      <c r="F181" s="40"/>
      <c r="G181" s="40">
        <v>1014</v>
      </c>
      <c r="Q181" s="39">
        <v>2010</v>
      </c>
      <c r="R181" s="39" t="s">
        <v>110</v>
      </c>
      <c r="S181" s="39" t="s">
        <v>43</v>
      </c>
      <c r="T181" s="39" t="s">
        <v>142</v>
      </c>
      <c r="U181" s="39">
        <v>7588</v>
      </c>
      <c r="V181" s="39"/>
      <c r="W181" s="39">
        <v>986</v>
      </c>
    </row>
    <row r="182" spans="1:23">
      <c r="A182" s="39">
        <v>2010</v>
      </c>
      <c r="B182" s="39" t="s">
        <v>110</v>
      </c>
      <c r="C182" s="39" t="s">
        <v>43</v>
      </c>
      <c r="D182" s="39" t="s">
        <v>142</v>
      </c>
      <c r="E182" s="39">
        <v>7588</v>
      </c>
      <c r="F182" s="39"/>
      <c r="G182" s="39">
        <v>986</v>
      </c>
      <c r="Q182" s="40">
        <v>2010</v>
      </c>
      <c r="R182" s="40" t="s">
        <v>110</v>
      </c>
      <c r="S182" s="40" t="s">
        <v>43</v>
      </c>
      <c r="T182" s="40" t="s">
        <v>143</v>
      </c>
      <c r="U182" s="40">
        <v>5582</v>
      </c>
      <c r="V182" s="40"/>
      <c r="W182" s="40">
        <v>725</v>
      </c>
    </row>
    <row r="183" spans="1:23">
      <c r="A183" s="40">
        <v>2010</v>
      </c>
      <c r="B183" s="40" t="s">
        <v>110</v>
      </c>
      <c r="C183" s="40" t="s">
        <v>43</v>
      </c>
      <c r="D183" s="40" t="s">
        <v>143</v>
      </c>
      <c r="E183" s="40">
        <v>5582</v>
      </c>
      <c r="F183" s="40"/>
      <c r="G183" s="40">
        <v>725</v>
      </c>
      <c r="Q183" s="39">
        <v>2010</v>
      </c>
      <c r="R183" s="39" t="s">
        <v>110</v>
      </c>
      <c r="S183" s="39" t="s">
        <v>43</v>
      </c>
      <c r="T183" s="39" t="s">
        <v>144</v>
      </c>
      <c r="U183" s="39">
        <v>3576</v>
      </c>
      <c r="V183" s="39"/>
      <c r="W183" s="39">
        <v>464</v>
      </c>
    </row>
    <row r="184" spans="1:23">
      <c r="A184" s="39">
        <v>2010</v>
      </c>
      <c r="B184" s="39" t="s">
        <v>110</v>
      </c>
      <c r="C184" s="39" t="s">
        <v>43</v>
      </c>
      <c r="D184" s="39" t="s">
        <v>144</v>
      </c>
      <c r="E184" s="39">
        <v>3576</v>
      </c>
      <c r="F184" s="39"/>
      <c r="G184" s="39">
        <v>464</v>
      </c>
      <c r="Q184" s="40">
        <v>2010</v>
      </c>
      <c r="R184" s="40" t="s">
        <v>110</v>
      </c>
      <c r="S184" s="40" t="s">
        <v>43</v>
      </c>
      <c r="T184" s="40" t="s">
        <v>145</v>
      </c>
      <c r="U184" s="40">
        <v>1699</v>
      </c>
      <c r="V184" s="40"/>
      <c r="W184" s="40">
        <v>220</v>
      </c>
    </row>
    <row r="185" spans="1:23">
      <c r="A185" s="40">
        <v>2010</v>
      </c>
      <c r="B185" s="40" t="s">
        <v>110</v>
      </c>
      <c r="C185" s="40" t="s">
        <v>43</v>
      </c>
      <c r="D185" s="40" t="s">
        <v>145</v>
      </c>
      <c r="E185" s="40">
        <v>1699</v>
      </c>
      <c r="F185" s="40"/>
      <c r="G185" s="40">
        <v>220</v>
      </c>
      <c r="Q185" s="39">
        <v>2010</v>
      </c>
      <c r="R185" s="39" t="s">
        <v>110</v>
      </c>
      <c r="S185" s="39" t="s">
        <v>43</v>
      </c>
      <c r="T185" s="39" t="s">
        <v>146</v>
      </c>
      <c r="U185" s="39">
        <v>1018</v>
      </c>
      <c r="V185" s="39"/>
      <c r="W185" s="39">
        <v>132</v>
      </c>
    </row>
    <row r="186" spans="1:23">
      <c r="A186" s="39">
        <v>2010</v>
      </c>
      <c r="B186" s="39" t="s">
        <v>110</v>
      </c>
      <c r="C186" s="39" t="s">
        <v>43</v>
      </c>
      <c r="D186" s="39" t="s">
        <v>146</v>
      </c>
      <c r="E186" s="39">
        <v>1018</v>
      </c>
      <c r="F186" s="39"/>
      <c r="G186" s="39">
        <v>132</v>
      </c>
      <c r="Q186" s="40">
        <v>2010</v>
      </c>
      <c r="R186" s="40" t="s">
        <v>110</v>
      </c>
      <c r="S186" s="40" t="s">
        <v>43</v>
      </c>
      <c r="T186" s="40" t="s">
        <v>147</v>
      </c>
      <c r="U186" s="40">
        <v>914</v>
      </c>
      <c r="V186" s="40"/>
      <c r="W186" s="40">
        <v>118</v>
      </c>
    </row>
    <row r="187" spans="1:23">
      <c r="A187" s="40">
        <v>2010</v>
      </c>
      <c r="B187" s="40" t="s">
        <v>110</v>
      </c>
      <c r="C187" s="40" t="s">
        <v>43</v>
      </c>
      <c r="D187" s="40" t="s">
        <v>147</v>
      </c>
      <c r="E187" s="40">
        <v>914</v>
      </c>
      <c r="F187" s="40"/>
      <c r="G187" s="40">
        <v>118</v>
      </c>
      <c r="Q187" s="39"/>
      <c r="R187" s="39"/>
      <c r="S187" s="39"/>
      <c r="T187" s="39"/>
      <c r="U187" s="39"/>
      <c r="V187" s="39"/>
      <c r="W187" s="39"/>
    </row>
    <row r="188" spans="1:23">
      <c r="A188" s="39"/>
      <c r="B188" s="39"/>
      <c r="C188" s="39"/>
      <c r="D188" s="39"/>
      <c r="E188" s="39"/>
      <c r="F188" s="39"/>
      <c r="G188" s="39"/>
      <c r="Q188" s="40">
        <v>2010</v>
      </c>
      <c r="R188" s="40" t="s">
        <v>111</v>
      </c>
      <c r="S188" s="40" t="s">
        <v>43</v>
      </c>
      <c r="T188" s="40" t="s">
        <v>130</v>
      </c>
      <c r="U188" s="40">
        <v>97300</v>
      </c>
      <c r="V188" s="40"/>
      <c r="W188" s="40">
        <v>12649</v>
      </c>
    </row>
    <row r="189" spans="1:23">
      <c r="A189" s="40">
        <v>2010</v>
      </c>
      <c r="B189" s="40" t="s">
        <v>111</v>
      </c>
      <c r="C189" s="40" t="s">
        <v>43</v>
      </c>
      <c r="D189" s="40" t="s">
        <v>130</v>
      </c>
      <c r="E189" s="40">
        <v>97300</v>
      </c>
      <c r="F189" s="40"/>
      <c r="G189" s="40">
        <v>12649</v>
      </c>
      <c r="Q189" s="39">
        <v>2010</v>
      </c>
      <c r="R189" s="39" t="s">
        <v>111</v>
      </c>
      <c r="S189" s="39" t="s">
        <v>43</v>
      </c>
      <c r="T189" s="39" t="s">
        <v>131</v>
      </c>
      <c r="U189" s="39">
        <v>68899</v>
      </c>
      <c r="V189" s="39"/>
      <c r="W189" s="39">
        <v>7578</v>
      </c>
    </row>
    <row r="190" spans="1:23">
      <c r="A190" s="39">
        <v>2010</v>
      </c>
      <c r="B190" s="39" t="s">
        <v>111</v>
      </c>
      <c r="C190" s="39" t="s">
        <v>43</v>
      </c>
      <c r="D190" s="39" t="s">
        <v>131</v>
      </c>
      <c r="E190" s="39">
        <v>68899</v>
      </c>
      <c r="F190" s="39"/>
      <c r="G190" s="39">
        <v>7578</v>
      </c>
      <c r="Q190" s="40">
        <v>2010</v>
      </c>
      <c r="R190" s="40" t="s">
        <v>111</v>
      </c>
      <c r="S190" s="40" t="s">
        <v>43</v>
      </c>
      <c r="T190" s="40" t="s">
        <v>132</v>
      </c>
      <c r="U190" s="40">
        <v>54140</v>
      </c>
      <c r="V190" s="40"/>
      <c r="W190" s="40">
        <v>5955</v>
      </c>
    </row>
    <row r="191" spans="1:23">
      <c r="A191" s="40">
        <v>2010</v>
      </c>
      <c r="B191" s="40" t="s">
        <v>111</v>
      </c>
      <c r="C191" s="40" t="s">
        <v>43</v>
      </c>
      <c r="D191" s="40" t="s">
        <v>132</v>
      </c>
      <c r="E191" s="40">
        <v>54140</v>
      </c>
      <c r="F191" s="40"/>
      <c r="G191" s="40">
        <v>5955</v>
      </c>
      <c r="Q191" s="39">
        <v>2010</v>
      </c>
      <c r="R191" s="39" t="s">
        <v>111</v>
      </c>
      <c r="S191" s="39" t="s">
        <v>43</v>
      </c>
      <c r="T191" s="39" t="s">
        <v>117</v>
      </c>
      <c r="U191" s="39">
        <v>50424</v>
      </c>
      <c r="V191" s="39"/>
      <c r="W191" s="39">
        <v>5546</v>
      </c>
    </row>
    <row r="192" spans="1:23">
      <c r="A192" s="39">
        <v>2010</v>
      </c>
      <c r="B192" s="39" t="s">
        <v>111</v>
      </c>
      <c r="C192" s="39" t="s">
        <v>43</v>
      </c>
      <c r="D192" s="39" t="s">
        <v>117</v>
      </c>
      <c r="E192" s="39">
        <v>50424</v>
      </c>
      <c r="F192" s="39"/>
      <c r="G192" s="39">
        <v>5546</v>
      </c>
      <c r="Q192" s="40">
        <v>2010</v>
      </c>
      <c r="R192" s="40" t="s">
        <v>111</v>
      </c>
      <c r="S192" s="40" t="s">
        <v>43</v>
      </c>
      <c r="T192" s="40" t="s">
        <v>133</v>
      </c>
      <c r="U192" s="40">
        <v>41423</v>
      </c>
      <c r="V192" s="40"/>
      <c r="W192" s="40">
        <v>4556</v>
      </c>
    </row>
    <row r="193" spans="1:23">
      <c r="A193" s="40">
        <v>2010</v>
      </c>
      <c r="B193" s="40" t="s">
        <v>111</v>
      </c>
      <c r="C193" s="40" t="s">
        <v>43</v>
      </c>
      <c r="D193" s="40" t="s">
        <v>133</v>
      </c>
      <c r="E193" s="40">
        <v>41423</v>
      </c>
      <c r="F193" s="40"/>
      <c r="G193" s="40">
        <v>4556</v>
      </c>
      <c r="Q193" s="39">
        <v>2010</v>
      </c>
      <c r="R193" s="39" t="s">
        <v>111</v>
      </c>
      <c r="S193" s="39" t="s">
        <v>43</v>
      </c>
      <c r="T193" s="39" t="s">
        <v>134</v>
      </c>
      <c r="U193" s="39">
        <v>36732</v>
      </c>
      <c r="V193" s="39"/>
      <c r="W193" s="39">
        <v>4040</v>
      </c>
    </row>
    <row r="194" spans="1:23">
      <c r="A194" s="39">
        <v>2010</v>
      </c>
      <c r="B194" s="39" t="s">
        <v>111</v>
      </c>
      <c r="C194" s="39" t="s">
        <v>43</v>
      </c>
      <c r="D194" s="39" t="s">
        <v>134</v>
      </c>
      <c r="E194" s="39">
        <v>36732</v>
      </c>
      <c r="F194" s="39"/>
      <c r="G194" s="39">
        <v>4040</v>
      </c>
      <c r="Q194" s="40">
        <v>2010</v>
      </c>
      <c r="R194" s="40" t="s">
        <v>111</v>
      </c>
      <c r="S194" s="40" t="s">
        <v>43</v>
      </c>
      <c r="T194" s="40" t="s">
        <v>135</v>
      </c>
      <c r="U194" s="40">
        <v>25326</v>
      </c>
      <c r="V194" s="40"/>
      <c r="W194" s="40">
        <v>2785</v>
      </c>
    </row>
    <row r="195" spans="1:23">
      <c r="A195" s="40">
        <v>2010</v>
      </c>
      <c r="B195" s="40" t="s">
        <v>111</v>
      </c>
      <c r="C195" s="40" t="s">
        <v>43</v>
      </c>
      <c r="D195" s="40" t="s">
        <v>135</v>
      </c>
      <c r="E195" s="40">
        <v>25326</v>
      </c>
      <c r="F195" s="40"/>
      <c r="G195" s="40">
        <v>2785</v>
      </c>
      <c r="Q195" s="39">
        <v>2010</v>
      </c>
      <c r="R195" s="39" t="s">
        <v>111</v>
      </c>
      <c r="S195" s="39" t="s">
        <v>43</v>
      </c>
      <c r="T195" s="39" t="s">
        <v>136</v>
      </c>
      <c r="U195" s="39">
        <v>21068</v>
      </c>
      <c r="V195" s="39"/>
      <c r="W195" s="39">
        <v>2317</v>
      </c>
    </row>
    <row r="196" spans="1:23">
      <c r="A196" s="39">
        <v>2010</v>
      </c>
      <c r="B196" s="39" t="s">
        <v>111</v>
      </c>
      <c r="C196" s="39" t="s">
        <v>43</v>
      </c>
      <c r="D196" s="39" t="s">
        <v>136</v>
      </c>
      <c r="E196" s="39">
        <v>21068</v>
      </c>
      <c r="F196" s="39"/>
      <c r="G196" s="39">
        <v>2317</v>
      </c>
      <c r="Q196" s="40">
        <v>2010</v>
      </c>
      <c r="R196" s="40" t="s">
        <v>111</v>
      </c>
      <c r="S196" s="40" t="s">
        <v>43</v>
      </c>
      <c r="T196" s="40" t="s">
        <v>137</v>
      </c>
      <c r="U196" s="40">
        <v>14617</v>
      </c>
      <c r="V196" s="40"/>
      <c r="W196" s="40">
        <v>1607</v>
      </c>
    </row>
    <row r="197" spans="1:23">
      <c r="A197" s="40">
        <v>2010</v>
      </c>
      <c r="B197" s="40" t="s">
        <v>111</v>
      </c>
      <c r="C197" s="40" t="s">
        <v>43</v>
      </c>
      <c r="D197" s="40" t="s">
        <v>137</v>
      </c>
      <c r="E197" s="40">
        <v>14617</v>
      </c>
      <c r="F197" s="40"/>
      <c r="G197" s="40">
        <v>1607</v>
      </c>
      <c r="Q197" s="39">
        <v>2010</v>
      </c>
      <c r="R197" s="39" t="s">
        <v>111</v>
      </c>
      <c r="S197" s="39" t="s">
        <v>43</v>
      </c>
      <c r="T197" s="39" t="s">
        <v>138</v>
      </c>
      <c r="U197" s="39">
        <v>14383</v>
      </c>
      <c r="V197" s="39"/>
      <c r="W197" s="39">
        <v>1582</v>
      </c>
    </row>
    <row r="198" spans="1:23">
      <c r="A198" s="39">
        <v>2010</v>
      </c>
      <c r="B198" s="39" t="s">
        <v>111</v>
      </c>
      <c r="C198" s="39" t="s">
        <v>43</v>
      </c>
      <c r="D198" s="39" t="s">
        <v>138</v>
      </c>
      <c r="E198" s="39">
        <v>14383</v>
      </c>
      <c r="F198" s="39"/>
      <c r="G198" s="39">
        <v>1582</v>
      </c>
      <c r="Q198" s="40">
        <v>2010</v>
      </c>
      <c r="R198" s="40" t="s">
        <v>111</v>
      </c>
      <c r="S198" s="40" t="s">
        <v>43</v>
      </c>
      <c r="T198" s="40" t="s">
        <v>139</v>
      </c>
      <c r="U198" s="40">
        <v>10613</v>
      </c>
      <c r="V198" s="40"/>
      <c r="W198" s="40">
        <v>1167</v>
      </c>
    </row>
    <row r="199" spans="1:23">
      <c r="A199" s="40">
        <v>2010</v>
      </c>
      <c r="B199" s="40" t="s">
        <v>111</v>
      </c>
      <c r="C199" s="40" t="s">
        <v>43</v>
      </c>
      <c r="D199" s="40" t="s">
        <v>139</v>
      </c>
      <c r="E199" s="40">
        <v>10613</v>
      </c>
      <c r="F199" s="40"/>
      <c r="G199" s="40">
        <v>1167</v>
      </c>
      <c r="Q199" s="39">
        <v>2010</v>
      </c>
      <c r="R199" s="39" t="s">
        <v>111</v>
      </c>
      <c r="S199" s="39" t="s">
        <v>43</v>
      </c>
      <c r="T199" s="39" t="s">
        <v>140</v>
      </c>
      <c r="U199" s="39">
        <v>8926</v>
      </c>
      <c r="V199" s="39"/>
      <c r="W199" s="39">
        <v>981</v>
      </c>
    </row>
    <row r="200" spans="1:23">
      <c r="A200" s="39">
        <v>2010</v>
      </c>
      <c r="B200" s="39" t="s">
        <v>111</v>
      </c>
      <c r="C200" s="39" t="s">
        <v>43</v>
      </c>
      <c r="D200" s="39" t="s">
        <v>140</v>
      </c>
      <c r="E200" s="39">
        <v>8926</v>
      </c>
      <c r="F200" s="39"/>
      <c r="G200" s="39">
        <v>981</v>
      </c>
      <c r="Q200" s="40">
        <v>2010</v>
      </c>
      <c r="R200" s="40" t="s">
        <v>111</v>
      </c>
      <c r="S200" s="40" t="s">
        <v>43</v>
      </c>
      <c r="T200" s="40" t="s">
        <v>141</v>
      </c>
      <c r="U200" s="40">
        <v>7930</v>
      </c>
      <c r="V200" s="40"/>
      <c r="W200" s="40">
        <v>872</v>
      </c>
    </row>
    <row r="201" spans="1:23">
      <c r="A201" s="40">
        <v>2010</v>
      </c>
      <c r="B201" s="40" t="s">
        <v>111</v>
      </c>
      <c r="C201" s="40" t="s">
        <v>43</v>
      </c>
      <c r="D201" s="40" t="s">
        <v>141</v>
      </c>
      <c r="E201" s="40">
        <v>7930</v>
      </c>
      <c r="F201" s="40"/>
      <c r="G201" s="40">
        <v>872</v>
      </c>
      <c r="Q201" s="39">
        <v>2010</v>
      </c>
      <c r="R201" s="39" t="s">
        <v>111</v>
      </c>
      <c r="S201" s="39" t="s">
        <v>43</v>
      </c>
      <c r="T201" s="39" t="s">
        <v>142</v>
      </c>
      <c r="U201" s="39">
        <v>6346</v>
      </c>
      <c r="V201" s="39"/>
      <c r="W201" s="39">
        <v>824</v>
      </c>
    </row>
    <row r="202" spans="1:23">
      <c r="A202" s="39">
        <v>2010</v>
      </c>
      <c r="B202" s="39" t="s">
        <v>111</v>
      </c>
      <c r="C202" s="39" t="s">
        <v>43</v>
      </c>
      <c r="D202" s="39" t="s">
        <v>142</v>
      </c>
      <c r="E202" s="39">
        <v>6346</v>
      </c>
      <c r="F202" s="39"/>
      <c r="G202" s="39">
        <v>824</v>
      </c>
      <c r="Q202" s="40">
        <v>2010</v>
      </c>
      <c r="R202" s="40" t="s">
        <v>111</v>
      </c>
      <c r="S202" s="40" t="s">
        <v>43</v>
      </c>
      <c r="T202" s="40" t="s">
        <v>143</v>
      </c>
      <c r="U202" s="40">
        <v>4325</v>
      </c>
      <c r="V202" s="40"/>
      <c r="W202" s="40">
        <v>562</v>
      </c>
    </row>
    <row r="203" spans="1:23">
      <c r="A203" s="40">
        <v>2010</v>
      </c>
      <c r="B203" s="40" t="s">
        <v>111</v>
      </c>
      <c r="C203" s="40" t="s">
        <v>43</v>
      </c>
      <c r="D203" s="40" t="s">
        <v>143</v>
      </c>
      <c r="E203" s="40">
        <v>4325</v>
      </c>
      <c r="F203" s="40"/>
      <c r="G203" s="40">
        <v>562</v>
      </c>
      <c r="Q203" s="39">
        <v>2010</v>
      </c>
      <c r="R203" s="39" t="s">
        <v>111</v>
      </c>
      <c r="S203" s="39" t="s">
        <v>43</v>
      </c>
      <c r="T203" s="39" t="s">
        <v>144</v>
      </c>
      <c r="U203" s="39">
        <v>3203</v>
      </c>
      <c r="V203" s="39"/>
      <c r="W203" s="39">
        <v>416</v>
      </c>
    </row>
    <row r="204" spans="1:23">
      <c r="A204" s="39">
        <v>2010</v>
      </c>
      <c r="B204" s="39" t="s">
        <v>111</v>
      </c>
      <c r="C204" s="39" t="s">
        <v>43</v>
      </c>
      <c r="D204" s="39" t="s">
        <v>144</v>
      </c>
      <c r="E204" s="39">
        <v>3203</v>
      </c>
      <c r="F204" s="39"/>
      <c r="G204" s="39">
        <v>416</v>
      </c>
      <c r="Q204" s="40">
        <v>2010</v>
      </c>
      <c r="R204" s="40" t="s">
        <v>111</v>
      </c>
      <c r="S204" s="40" t="s">
        <v>43</v>
      </c>
      <c r="T204" s="40" t="s">
        <v>145</v>
      </c>
      <c r="U204" s="40">
        <v>1606</v>
      </c>
      <c r="V204" s="40"/>
      <c r="W204" s="40">
        <v>208</v>
      </c>
    </row>
    <row r="205" spans="1:23">
      <c r="A205" s="40">
        <v>2010</v>
      </c>
      <c r="B205" s="40" t="s">
        <v>111</v>
      </c>
      <c r="C205" s="40" t="s">
        <v>43</v>
      </c>
      <c r="D205" s="40" t="s">
        <v>145</v>
      </c>
      <c r="E205" s="40">
        <v>1606</v>
      </c>
      <c r="F205" s="40"/>
      <c r="G205" s="40">
        <v>208</v>
      </c>
      <c r="Q205" s="39">
        <v>2010</v>
      </c>
      <c r="R205" s="39" t="s">
        <v>111</v>
      </c>
      <c r="S205" s="39" t="s">
        <v>43</v>
      </c>
      <c r="T205" s="39" t="s">
        <v>146</v>
      </c>
      <c r="U205" s="39">
        <v>1064</v>
      </c>
      <c r="V205" s="39"/>
      <c r="W205" s="39">
        <v>138</v>
      </c>
    </row>
    <row r="206" spans="1:23">
      <c r="A206" s="39">
        <v>2010</v>
      </c>
      <c r="B206" s="39" t="s">
        <v>111</v>
      </c>
      <c r="C206" s="39" t="s">
        <v>43</v>
      </c>
      <c r="D206" s="39" t="s">
        <v>146</v>
      </c>
      <c r="E206" s="39">
        <v>1064</v>
      </c>
      <c r="F206" s="39"/>
      <c r="G206" s="39">
        <v>138</v>
      </c>
      <c r="Q206" s="40">
        <v>2010</v>
      </c>
      <c r="R206" s="40" t="s">
        <v>111</v>
      </c>
      <c r="S206" s="40" t="s">
        <v>43</v>
      </c>
      <c r="T206" s="40" t="s">
        <v>147</v>
      </c>
      <c r="U206" s="40">
        <v>1144</v>
      </c>
      <c r="V206" s="40"/>
      <c r="W206" s="40">
        <v>148</v>
      </c>
    </row>
    <row r="207" spans="1:23">
      <c r="A207" s="40">
        <v>2010</v>
      </c>
      <c r="B207" s="40" t="s">
        <v>111</v>
      </c>
      <c r="C207" s="40" t="s">
        <v>43</v>
      </c>
      <c r="D207" s="40" t="s">
        <v>147</v>
      </c>
      <c r="E207" s="40">
        <v>1144</v>
      </c>
      <c r="F207" s="40"/>
      <c r="G207" s="40">
        <v>148</v>
      </c>
      <c r="Q207" s="39"/>
      <c r="R207" s="39"/>
      <c r="S207" s="39"/>
      <c r="T207" s="39"/>
      <c r="U207" s="39"/>
      <c r="V207" s="39"/>
      <c r="W207" s="39"/>
    </row>
    <row r="208" spans="1:23">
      <c r="A208" s="39"/>
      <c r="B208" s="39"/>
      <c r="C208" s="39"/>
      <c r="D208" s="39"/>
      <c r="E208" s="39"/>
      <c r="F208" s="39"/>
      <c r="G208" s="39"/>
      <c r="Q208" s="40">
        <v>2010</v>
      </c>
      <c r="R208" s="40" t="s">
        <v>102</v>
      </c>
      <c r="S208" s="40" t="s">
        <v>44</v>
      </c>
      <c r="T208" s="40" t="s">
        <v>130</v>
      </c>
      <c r="U208" s="49">
        <v>126008</v>
      </c>
      <c r="V208" s="40"/>
      <c r="W208" s="40">
        <v>17595</v>
      </c>
    </row>
    <row r="209" spans="1:23">
      <c r="A209" s="40">
        <v>2010</v>
      </c>
      <c r="B209" s="40" t="s">
        <v>102</v>
      </c>
      <c r="C209" s="40" t="s">
        <v>44</v>
      </c>
      <c r="D209" s="40" t="s">
        <v>130</v>
      </c>
      <c r="E209" s="40">
        <v>135347</v>
      </c>
      <c r="F209" s="40"/>
      <c r="G209" s="40">
        <v>17595</v>
      </c>
      <c r="Q209" s="39">
        <v>2010</v>
      </c>
      <c r="R209" s="39" t="s">
        <v>102</v>
      </c>
      <c r="S209" s="39" t="s">
        <v>44</v>
      </c>
      <c r="T209" s="39" t="s">
        <v>131</v>
      </c>
      <c r="U209" s="50">
        <v>102748</v>
      </c>
      <c r="V209" s="39"/>
      <c r="W209" s="39">
        <v>11057</v>
      </c>
    </row>
    <row r="210" spans="1:23">
      <c r="A210" s="39">
        <v>2010</v>
      </c>
      <c r="B210" s="39" t="s">
        <v>102</v>
      </c>
      <c r="C210" s="39" t="s">
        <v>44</v>
      </c>
      <c r="D210" s="39" t="s">
        <v>131</v>
      </c>
      <c r="E210" s="39">
        <v>100521</v>
      </c>
      <c r="F210" s="39"/>
      <c r="G210" s="39">
        <v>11057</v>
      </c>
      <c r="Q210" s="40">
        <v>2010</v>
      </c>
      <c r="R210" s="40" t="s">
        <v>102</v>
      </c>
      <c r="S210" s="40" t="s">
        <v>44</v>
      </c>
      <c r="T210" s="40" t="s">
        <v>132</v>
      </c>
      <c r="U210" s="49">
        <v>89234</v>
      </c>
      <c r="V210" s="40"/>
      <c r="W210" s="40">
        <v>9313</v>
      </c>
    </row>
    <row r="211" spans="1:23">
      <c r="A211" s="40">
        <v>2010</v>
      </c>
      <c r="B211" s="40" t="s">
        <v>102</v>
      </c>
      <c r="C211" s="40" t="s">
        <v>44</v>
      </c>
      <c r="D211" s="40" t="s">
        <v>132</v>
      </c>
      <c r="E211" s="40">
        <v>84671</v>
      </c>
      <c r="F211" s="40"/>
      <c r="G211" s="40">
        <v>9313</v>
      </c>
      <c r="Q211" s="39">
        <v>2010</v>
      </c>
      <c r="R211" s="39" t="s">
        <v>102</v>
      </c>
      <c r="S211" s="39" t="s">
        <v>44</v>
      </c>
      <c r="T211" s="39" t="s">
        <v>117</v>
      </c>
      <c r="U211" s="50">
        <v>73459</v>
      </c>
      <c r="V211" s="39"/>
      <c r="W211" s="39">
        <v>8245</v>
      </c>
    </row>
    <row r="212" spans="1:23">
      <c r="A212" s="39">
        <v>2010</v>
      </c>
      <c r="B212" s="39" t="s">
        <v>102</v>
      </c>
      <c r="C212" s="39" t="s">
        <v>44</v>
      </c>
      <c r="D212" s="39" t="s">
        <v>117</v>
      </c>
      <c r="E212" s="39">
        <v>74959</v>
      </c>
      <c r="F212" s="39"/>
      <c r="G212" s="39">
        <v>8245</v>
      </c>
      <c r="Q212" s="40">
        <v>2010</v>
      </c>
      <c r="R212" s="40" t="s">
        <v>102</v>
      </c>
      <c r="S212" s="40" t="s">
        <v>44</v>
      </c>
      <c r="T212" s="40" t="s">
        <v>133</v>
      </c>
      <c r="U212" s="49">
        <v>62368</v>
      </c>
      <c r="V212" s="40"/>
      <c r="W212" s="40">
        <v>5734</v>
      </c>
    </row>
    <row r="213" spans="1:23">
      <c r="A213" s="40">
        <v>2010</v>
      </c>
      <c r="B213" s="40" t="s">
        <v>102</v>
      </c>
      <c r="C213" s="40" t="s">
        <v>44</v>
      </c>
      <c r="D213" s="40" t="s">
        <v>133</v>
      </c>
      <c r="E213" s="40">
        <v>52130</v>
      </c>
      <c r="F213" s="40"/>
      <c r="G213" s="40">
        <v>5734</v>
      </c>
      <c r="Q213" s="39">
        <v>2010</v>
      </c>
      <c r="R213" s="39" t="s">
        <v>102</v>
      </c>
      <c r="S213" s="39" t="s">
        <v>44</v>
      </c>
      <c r="T213" s="39" t="s">
        <v>134</v>
      </c>
      <c r="U213" s="50">
        <v>53293</v>
      </c>
      <c r="V213" s="39"/>
      <c r="W213" s="39">
        <v>5029</v>
      </c>
    </row>
    <row r="214" spans="1:23">
      <c r="A214" s="39">
        <v>2010</v>
      </c>
      <c r="B214" s="39" t="s">
        <v>102</v>
      </c>
      <c r="C214" s="39" t="s">
        <v>44</v>
      </c>
      <c r="D214" s="39" t="s">
        <v>134</v>
      </c>
      <c r="E214" s="39">
        <v>45719</v>
      </c>
      <c r="F214" s="39"/>
      <c r="G214" s="39">
        <v>5029</v>
      </c>
      <c r="Q214" s="40">
        <v>2010</v>
      </c>
      <c r="R214" s="40" t="s">
        <v>102</v>
      </c>
      <c r="S214" s="40" t="s">
        <v>44</v>
      </c>
      <c r="T214" s="40" t="s">
        <v>135</v>
      </c>
      <c r="U214" s="49">
        <v>44337</v>
      </c>
      <c r="V214" s="40"/>
      <c r="W214" s="40">
        <v>4085</v>
      </c>
    </row>
    <row r="215" spans="1:23">
      <c r="A215" s="40">
        <v>2010</v>
      </c>
      <c r="B215" s="40" t="s">
        <v>102</v>
      </c>
      <c r="C215" s="40" t="s">
        <v>44</v>
      </c>
      <c r="D215" s="40" t="s">
        <v>135</v>
      </c>
      <c r="E215" s="40">
        <v>37139</v>
      </c>
      <c r="F215" s="40"/>
      <c r="G215" s="40">
        <v>4085</v>
      </c>
      <c r="Q215" s="39">
        <v>2010</v>
      </c>
      <c r="R215" s="39" t="s">
        <v>102</v>
      </c>
      <c r="S215" s="39" t="s">
        <v>44</v>
      </c>
      <c r="T215" s="39" t="s">
        <v>136</v>
      </c>
      <c r="U215" s="50">
        <v>34071</v>
      </c>
      <c r="V215" s="39"/>
      <c r="W215" s="39">
        <v>3573</v>
      </c>
    </row>
    <row r="216" spans="1:23">
      <c r="A216" s="39">
        <v>2010</v>
      </c>
      <c r="B216" s="39" t="s">
        <v>102</v>
      </c>
      <c r="C216" s="39" t="s">
        <v>44</v>
      </c>
      <c r="D216" s="39" t="s">
        <v>136</v>
      </c>
      <c r="E216" s="39">
        <v>32486</v>
      </c>
      <c r="F216" s="39"/>
      <c r="G216" s="39">
        <v>3573</v>
      </c>
      <c r="Q216" s="40">
        <v>2010</v>
      </c>
      <c r="R216" s="40" t="s">
        <v>102</v>
      </c>
      <c r="S216" s="40" t="s">
        <v>44</v>
      </c>
      <c r="T216" s="40" t="s">
        <v>137</v>
      </c>
      <c r="U216" s="49">
        <v>21768</v>
      </c>
      <c r="V216" s="40"/>
      <c r="W216" s="40">
        <v>2354</v>
      </c>
    </row>
    <row r="217" spans="1:23">
      <c r="A217" s="40">
        <v>2010</v>
      </c>
      <c r="B217" s="40" t="s">
        <v>102</v>
      </c>
      <c r="C217" s="40" t="s">
        <v>44</v>
      </c>
      <c r="D217" s="40" t="s">
        <v>137</v>
      </c>
      <c r="E217" s="40">
        <v>21402</v>
      </c>
      <c r="F217" s="40"/>
      <c r="G217" s="40">
        <v>2354</v>
      </c>
      <c r="Q217" s="39">
        <v>2010</v>
      </c>
      <c r="R217" s="39" t="s">
        <v>102</v>
      </c>
      <c r="S217" s="39" t="s">
        <v>44</v>
      </c>
      <c r="T217" s="39" t="s">
        <v>138</v>
      </c>
      <c r="U217" s="50">
        <v>20266</v>
      </c>
      <c r="V217" s="39"/>
      <c r="W217" s="39">
        <v>1944</v>
      </c>
    </row>
    <row r="218" spans="1:23">
      <c r="A218" s="39">
        <v>2010</v>
      </c>
      <c r="B218" s="39" t="s">
        <v>102</v>
      </c>
      <c r="C218" s="39" t="s">
        <v>44</v>
      </c>
      <c r="D218" s="39" t="s">
        <v>138</v>
      </c>
      <c r="E218" s="39">
        <v>17679</v>
      </c>
      <c r="F218" s="39"/>
      <c r="G218" s="39">
        <v>1944</v>
      </c>
      <c r="Q218" s="40">
        <v>2010</v>
      </c>
      <c r="R218" s="40" t="s">
        <v>102</v>
      </c>
      <c r="S218" s="40" t="s">
        <v>44</v>
      </c>
      <c r="T218" s="40" t="s">
        <v>139</v>
      </c>
      <c r="U218" s="49">
        <v>15163</v>
      </c>
      <c r="V218" s="40"/>
      <c r="W218" s="40">
        <v>1370</v>
      </c>
    </row>
    <row r="219" spans="1:23">
      <c r="A219" s="40">
        <v>2010</v>
      </c>
      <c r="B219" s="40" t="s">
        <v>102</v>
      </c>
      <c r="C219" s="40" t="s">
        <v>44</v>
      </c>
      <c r="D219" s="40" t="s">
        <v>139</v>
      </c>
      <c r="E219" s="40">
        <v>12458</v>
      </c>
      <c r="F219" s="40"/>
      <c r="G219" s="40">
        <v>1370</v>
      </c>
      <c r="Q219" s="39">
        <v>2010</v>
      </c>
      <c r="R219" s="39" t="s">
        <v>102</v>
      </c>
      <c r="S219" s="39" t="s">
        <v>44</v>
      </c>
      <c r="T219" s="39" t="s">
        <v>140</v>
      </c>
      <c r="U219" s="50">
        <v>11554</v>
      </c>
      <c r="V219" s="39"/>
      <c r="W219" s="39">
        <v>1075</v>
      </c>
    </row>
    <row r="220" spans="1:23">
      <c r="A220" s="39">
        <v>2010</v>
      </c>
      <c r="B220" s="39" t="s">
        <v>102</v>
      </c>
      <c r="C220" s="39" t="s">
        <v>44</v>
      </c>
      <c r="D220" s="39" t="s">
        <v>140</v>
      </c>
      <c r="E220" s="39">
        <v>9777</v>
      </c>
      <c r="F220" s="39"/>
      <c r="G220" s="39">
        <v>1075</v>
      </c>
      <c r="Q220" s="40">
        <v>2010</v>
      </c>
      <c r="R220" s="40" t="s">
        <v>102</v>
      </c>
      <c r="S220" s="40" t="s">
        <v>44</v>
      </c>
      <c r="T220" s="40" t="s">
        <v>141</v>
      </c>
      <c r="U220" s="49">
        <v>9366</v>
      </c>
      <c r="V220" s="40"/>
      <c r="W220" s="40">
        <v>849</v>
      </c>
    </row>
    <row r="221" spans="1:23">
      <c r="A221" s="40">
        <v>2010</v>
      </c>
      <c r="B221" s="40" t="s">
        <v>102</v>
      </c>
      <c r="C221" s="40" t="s">
        <v>44</v>
      </c>
      <c r="D221" s="40" t="s">
        <v>141</v>
      </c>
      <c r="E221" s="40">
        <v>7723</v>
      </c>
      <c r="F221" s="40"/>
      <c r="G221" s="40">
        <v>849</v>
      </c>
      <c r="Q221" s="39">
        <v>2010</v>
      </c>
      <c r="R221" s="39" t="s">
        <v>102</v>
      </c>
      <c r="S221" s="39" t="s">
        <v>44</v>
      </c>
      <c r="T221" s="39" t="s">
        <v>142</v>
      </c>
      <c r="U221" s="50">
        <v>6311</v>
      </c>
      <c r="V221" s="39"/>
      <c r="W221" s="39">
        <v>775</v>
      </c>
    </row>
    <row r="222" spans="1:23">
      <c r="A222" s="39">
        <v>2010</v>
      </c>
      <c r="B222" s="39" t="s">
        <v>102</v>
      </c>
      <c r="C222" s="39" t="s">
        <v>44</v>
      </c>
      <c r="D222" s="39" t="s">
        <v>142</v>
      </c>
      <c r="E222" s="39">
        <v>5966</v>
      </c>
      <c r="F222" s="39"/>
      <c r="G222" s="39">
        <v>775</v>
      </c>
      <c r="Q222" s="40">
        <v>2010</v>
      </c>
      <c r="R222" s="40" t="s">
        <v>102</v>
      </c>
      <c r="S222" s="40" t="s">
        <v>44</v>
      </c>
      <c r="T222" s="40" t="s">
        <v>143</v>
      </c>
      <c r="U222" s="49">
        <v>4185</v>
      </c>
      <c r="V222" s="40"/>
      <c r="W222" s="40">
        <v>561</v>
      </c>
    </row>
    <row r="223" spans="1:23">
      <c r="A223" s="40">
        <v>2010</v>
      </c>
      <c r="B223" s="40" t="s">
        <v>102</v>
      </c>
      <c r="C223" s="40" t="s">
        <v>44</v>
      </c>
      <c r="D223" s="40" t="s">
        <v>143</v>
      </c>
      <c r="E223" s="40">
        <v>4317</v>
      </c>
      <c r="F223" s="40"/>
      <c r="G223" s="40">
        <v>561</v>
      </c>
      <c r="Q223" s="39">
        <v>2010</v>
      </c>
      <c r="R223" s="39" t="s">
        <v>102</v>
      </c>
      <c r="S223" s="39" t="s">
        <v>44</v>
      </c>
      <c r="T223" s="39" t="s">
        <v>144</v>
      </c>
      <c r="U223" s="50">
        <v>2521</v>
      </c>
      <c r="V223" s="39"/>
      <c r="W223" s="39">
        <v>163</v>
      </c>
    </row>
    <row r="224" spans="1:23">
      <c r="A224" s="39">
        <v>2010</v>
      </c>
      <c r="B224" s="39" t="s">
        <v>102</v>
      </c>
      <c r="C224" s="39" t="s">
        <v>44</v>
      </c>
      <c r="D224" s="39" t="s">
        <v>144</v>
      </c>
      <c r="E224" s="39">
        <v>1255</v>
      </c>
      <c r="F224" s="39"/>
      <c r="G224" s="39">
        <v>163</v>
      </c>
      <c r="Q224" s="40">
        <v>2010</v>
      </c>
      <c r="R224" s="40" t="s">
        <v>102</v>
      </c>
      <c r="S224" s="40" t="s">
        <v>44</v>
      </c>
      <c r="T224" s="40" t="s">
        <v>148</v>
      </c>
      <c r="U224" s="49">
        <v>1733</v>
      </c>
      <c r="V224" s="40"/>
      <c r="W224" s="40">
        <v>193</v>
      </c>
    </row>
    <row r="225" spans="1:23">
      <c r="A225" s="40">
        <v>2010</v>
      </c>
      <c r="B225" s="40" t="s">
        <v>102</v>
      </c>
      <c r="C225" s="40" t="s">
        <v>44</v>
      </c>
      <c r="D225" s="40" t="s">
        <v>145</v>
      </c>
      <c r="E225" s="40">
        <v>1487</v>
      </c>
      <c r="F225" s="40"/>
      <c r="G225" s="40">
        <v>193</v>
      </c>
      <c r="Q225" s="39"/>
      <c r="R225" s="39"/>
      <c r="S225" s="39"/>
      <c r="T225" s="39"/>
      <c r="U225" s="39"/>
      <c r="V225" s="39"/>
      <c r="W225" s="39"/>
    </row>
    <row r="226" spans="1:23">
      <c r="A226" s="39">
        <v>2010</v>
      </c>
      <c r="B226" s="39" t="s">
        <v>102</v>
      </c>
      <c r="C226" s="39" t="s">
        <v>44</v>
      </c>
      <c r="D226" s="39" t="s">
        <v>146</v>
      </c>
      <c r="E226" s="39">
        <v>992</v>
      </c>
      <c r="F226" s="39"/>
      <c r="G226" s="39">
        <v>128</v>
      </c>
      <c r="Q226" s="40"/>
      <c r="R226" s="40"/>
      <c r="S226" s="40"/>
      <c r="T226" s="40"/>
      <c r="U226" s="40"/>
      <c r="V226" s="40"/>
      <c r="W226" s="40"/>
    </row>
    <row r="227" spans="1:23">
      <c r="A227" s="40">
        <v>2010</v>
      </c>
      <c r="B227" s="40" t="s">
        <v>102</v>
      </c>
      <c r="C227" s="40" t="s">
        <v>44</v>
      </c>
      <c r="D227" s="40" t="s">
        <v>147</v>
      </c>
      <c r="E227" s="40">
        <v>452</v>
      </c>
      <c r="F227" s="40"/>
      <c r="G227" s="40">
        <v>58</v>
      </c>
      <c r="Q227" s="39"/>
      <c r="R227" s="39"/>
      <c r="S227" s="39"/>
      <c r="T227" s="39"/>
      <c r="U227" s="39"/>
      <c r="V227" s="39"/>
      <c r="W227" s="39"/>
    </row>
    <row r="228" spans="1:23">
      <c r="A228" s="39"/>
      <c r="B228" s="39"/>
      <c r="C228" s="39"/>
      <c r="D228" s="39"/>
      <c r="E228" s="39"/>
      <c r="F228" s="39"/>
      <c r="G228" s="39"/>
      <c r="Q228" s="40">
        <v>2010</v>
      </c>
      <c r="R228" s="40" t="s">
        <v>103</v>
      </c>
      <c r="S228" s="40" t="s">
        <v>44</v>
      </c>
      <c r="T228" s="40" t="s">
        <v>130</v>
      </c>
      <c r="U228" s="40">
        <v>171266</v>
      </c>
      <c r="V228" s="40"/>
      <c r="W228" s="40">
        <v>22264</v>
      </c>
    </row>
    <row r="229" spans="1:23">
      <c r="A229" s="40">
        <v>2010</v>
      </c>
      <c r="B229" s="40" t="s">
        <v>103</v>
      </c>
      <c r="C229" s="40" t="s">
        <v>44</v>
      </c>
      <c r="D229" s="40" t="s">
        <v>130</v>
      </c>
      <c r="E229" s="40">
        <v>171266</v>
      </c>
      <c r="F229" s="40"/>
      <c r="G229" s="40">
        <v>22264</v>
      </c>
      <c r="Q229" s="39">
        <v>2010</v>
      </c>
      <c r="R229" s="39" t="s">
        <v>103</v>
      </c>
      <c r="S229" s="39" t="s">
        <v>44</v>
      </c>
      <c r="T229" s="39" t="s">
        <v>131</v>
      </c>
      <c r="U229" s="39">
        <v>129201</v>
      </c>
      <c r="V229" s="39"/>
      <c r="W229" s="39">
        <v>14212</v>
      </c>
    </row>
    <row r="230" spans="1:23">
      <c r="A230" s="39">
        <v>2010</v>
      </c>
      <c r="B230" s="39" t="s">
        <v>103</v>
      </c>
      <c r="C230" s="39" t="s">
        <v>44</v>
      </c>
      <c r="D230" s="39" t="s">
        <v>131</v>
      </c>
      <c r="E230" s="39">
        <v>129201</v>
      </c>
      <c r="F230" s="39"/>
      <c r="G230" s="39">
        <v>14212</v>
      </c>
      <c r="Q230" s="40">
        <v>2010</v>
      </c>
      <c r="R230" s="40" t="s">
        <v>103</v>
      </c>
      <c r="S230" s="40" t="s">
        <v>44</v>
      </c>
      <c r="T230" s="40" t="s">
        <v>132</v>
      </c>
      <c r="U230" s="40">
        <v>123060</v>
      </c>
      <c r="V230" s="40"/>
      <c r="W230" s="40">
        <v>13536</v>
      </c>
    </row>
    <row r="231" spans="1:23">
      <c r="A231" s="40">
        <v>2010</v>
      </c>
      <c r="B231" s="40" t="s">
        <v>103</v>
      </c>
      <c r="C231" s="40" t="s">
        <v>44</v>
      </c>
      <c r="D231" s="40" t="s">
        <v>132</v>
      </c>
      <c r="E231" s="40">
        <v>123060</v>
      </c>
      <c r="F231" s="40"/>
      <c r="G231" s="40">
        <v>13536</v>
      </c>
      <c r="Q231" s="39">
        <v>2010</v>
      </c>
      <c r="R231" s="39" t="s">
        <v>103</v>
      </c>
      <c r="S231" s="39" t="s">
        <v>44</v>
      </c>
      <c r="T231" s="39" t="s">
        <v>117</v>
      </c>
      <c r="U231" s="39">
        <v>120238</v>
      </c>
      <c r="V231" s="39"/>
      <c r="W231" s="39">
        <v>13226</v>
      </c>
    </row>
    <row r="232" spans="1:23">
      <c r="A232" s="39">
        <v>2010</v>
      </c>
      <c r="B232" s="39" t="s">
        <v>103</v>
      </c>
      <c r="C232" s="39" t="s">
        <v>44</v>
      </c>
      <c r="D232" s="39" t="s">
        <v>117</v>
      </c>
      <c r="E232" s="39">
        <v>120238</v>
      </c>
      <c r="F232" s="39"/>
      <c r="G232" s="39">
        <v>13226</v>
      </c>
      <c r="Q232" s="40">
        <v>2010</v>
      </c>
      <c r="R232" s="40" t="s">
        <v>103</v>
      </c>
      <c r="S232" s="40" t="s">
        <v>44</v>
      </c>
      <c r="T232" s="40" t="s">
        <v>133</v>
      </c>
      <c r="U232" s="40">
        <v>87717</v>
      </c>
      <c r="V232" s="40"/>
      <c r="W232" s="40">
        <v>9648</v>
      </c>
    </row>
    <row r="233" spans="1:23">
      <c r="A233" s="40">
        <v>2010</v>
      </c>
      <c r="B233" s="40" t="s">
        <v>103</v>
      </c>
      <c r="C233" s="40" t="s">
        <v>44</v>
      </c>
      <c r="D233" s="40" t="s">
        <v>133</v>
      </c>
      <c r="E233" s="40">
        <v>87717</v>
      </c>
      <c r="F233" s="40"/>
      <c r="G233" s="40">
        <v>9648</v>
      </c>
      <c r="Q233" s="39">
        <v>2010</v>
      </c>
      <c r="R233" s="39" t="s">
        <v>103</v>
      </c>
      <c r="S233" s="39" t="s">
        <v>44</v>
      </c>
      <c r="T233" s="39" t="s">
        <v>134</v>
      </c>
      <c r="U233" s="39">
        <v>84830</v>
      </c>
      <c r="V233" s="39"/>
      <c r="W233" s="39">
        <v>9331</v>
      </c>
    </row>
    <row r="234" spans="1:23">
      <c r="A234" s="39">
        <v>2010</v>
      </c>
      <c r="B234" s="39" t="s">
        <v>103</v>
      </c>
      <c r="C234" s="39" t="s">
        <v>44</v>
      </c>
      <c r="D234" s="39" t="s">
        <v>134</v>
      </c>
      <c r="E234" s="39">
        <v>84830</v>
      </c>
      <c r="F234" s="39"/>
      <c r="G234" s="39">
        <v>9331</v>
      </c>
      <c r="Q234" s="40">
        <v>2010</v>
      </c>
      <c r="R234" s="40" t="s">
        <v>103</v>
      </c>
      <c r="S234" s="40" t="s">
        <v>44</v>
      </c>
      <c r="T234" s="40" t="s">
        <v>135</v>
      </c>
      <c r="U234" s="40">
        <v>67300</v>
      </c>
      <c r="V234" s="40"/>
      <c r="W234" s="40">
        <v>7403</v>
      </c>
    </row>
    <row r="235" spans="1:23">
      <c r="A235" s="40">
        <v>2010</v>
      </c>
      <c r="B235" s="40" t="s">
        <v>103</v>
      </c>
      <c r="C235" s="40" t="s">
        <v>44</v>
      </c>
      <c r="D235" s="40" t="s">
        <v>135</v>
      </c>
      <c r="E235" s="40">
        <v>67300</v>
      </c>
      <c r="F235" s="40"/>
      <c r="G235" s="40">
        <v>7403</v>
      </c>
      <c r="Q235" s="39">
        <v>2010</v>
      </c>
      <c r="R235" s="39" t="s">
        <v>103</v>
      </c>
      <c r="S235" s="39" t="s">
        <v>44</v>
      </c>
      <c r="T235" s="39" t="s">
        <v>136</v>
      </c>
      <c r="U235" s="39">
        <v>55754</v>
      </c>
      <c r="V235" s="39"/>
      <c r="W235" s="39">
        <v>6132</v>
      </c>
    </row>
    <row r="236" spans="1:23">
      <c r="A236" s="39">
        <v>2010</v>
      </c>
      <c r="B236" s="39" t="s">
        <v>103</v>
      </c>
      <c r="C236" s="39" t="s">
        <v>44</v>
      </c>
      <c r="D236" s="39" t="s">
        <v>136</v>
      </c>
      <c r="E236" s="39">
        <v>55754</v>
      </c>
      <c r="F236" s="39"/>
      <c r="G236" s="39">
        <v>6132</v>
      </c>
      <c r="Q236" s="40">
        <v>2010</v>
      </c>
      <c r="R236" s="40" t="s">
        <v>103</v>
      </c>
      <c r="S236" s="40" t="s">
        <v>44</v>
      </c>
      <c r="T236" s="40" t="s">
        <v>137</v>
      </c>
      <c r="U236" s="40">
        <v>36998</v>
      </c>
      <c r="V236" s="40"/>
      <c r="W236" s="40">
        <v>4069</v>
      </c>
    </row>
    <row r="237" spans="1:23">
      <c r="A237" s="40">
        <v>2010</v>
      </c>
      <c r="B237" s="40" t="s">
        <v>103</v>
      </c>
      <c r="C237" s="40" t="s">
        <v>44</v>
      </c>
      <c r="D237" s="40" t="s">
        <v>137</v>
      </c>
      <c r="E237" s="40">
        <v>36998</v>
      </c>
      <c r="F237" s="40"/>
      <c r="G237" s="40">
        <v>4069</v>
      </c>
      <c r="Q237" s="39">
        <v>2010</v>
      </c>
      <c r="R237" s="39" t="s">
        <v>103</v>
      </c>
      <c r="S237" s="39" t="s">
        <v>44</v>
      </c>
      <c r="T237" s="39" t="s">
        <v>138</v>
      </c>
      <c r="U237" s="39">
        <v>30779</v>
      </c>
      <c r="V237" s="39"/>
      <c r="W237" s="39">
        <v>3385</v>
      </c>
    </row>
    <row r="238" spans="1:23">
      <c r="A238" s="39">
        <v>2010</v>
      </c>
      <c r="B238" s="39" t="s">
        <v>103</v>
      </c>
      <c r="C238" s="39" t="s">
        <v>44</v>
      </c>
      <c r="D238" s="39" t="s">
        <v>138</v>
      </c>
      <c r="E238" s="39">
        <v>30779</v>
      </c>
      <c r="F238" s="39"/>
      <c r="G238" s="39">
        <v>3385</v>
      </c>
      <c r="Q238" s="40">
        <v>2010</v>
      </c>
      <c r="R238" s="40" t="s">
        <v>103</v>
      </c>
      <c r="S238" s="40" t="s">
        <v>44</v>
      </c>
      <c r="T238" s="40" t="s">
        <v>139</v>
      </c>
      <c r="U238" s="40">
        <v>22343</v>
      </c>
      <c r="V238" s="40"/>
      <c r="W238" s="40">
        <v>2457</v>
      </c>
    </row>
    <row r="239" spans="1:23">
      <c r="A239" s="40">
        <v>2010</v>
      </c>
      <c r="B239" s="40" t="s">
        <v>103</v>
      </c>
      <c r="C239" s="40" t="s">
        <v>44</v>
      </c>
      <c r="D239" s="40" t="s">
        <v>139</v>
      </c>
      <c r="E239" s="40">
        <v>22343</v>
      </c>
      <c r="F239" s="40"/>
      <c r="G239" s="40">
        <v>2457</v>
      </c>
      <c r="Q239" s="39">
        <v>2010</v>
      </c>
      <c r="R239" s="39" t="s">
        <v>103</v>
      </c>
      <c r="S239" s="39" t="s">
        <v>44</v>
      </c>
      <c r="T239" s="39" t="s">
        <v>140</v>
      </c>
      <c r="U239" s="39">
        <v>18234</v>
      </c>
      <c r="V239" s="39"/>
      <c r="W239" s="39">
        <v>2005</v>
      </c>
    </row>
    <row r="240" spans="1:23">
      <c r="A240" s="39">
        <v>2010</v>
      </c>
      <c r="B240" s="39" t="s">
        <v>103</v>
      </c>
      <c r="C240" s="39" t="s">
        <v>44</v>
      </c>
      <c r="D240" s="39" t="s">
        <v>140</v>
      </c>
      <c r="E240" s="39">
        <v>18234</v>
      </c>
      <c r="F240" s="39"/>
      <c r="G240" s="39">
        <v>2005</v>
      </c>
      <c r="Q240" s="40">
        <v>2010</v>
      </c>
      <c r="R240" s="40" t="s">
        <v>103</v>
      </c>
      <c r="S240" s="40" t="s">
        <v>44</v>
      </c>
      <c r="T240" s="40" t="s">
        <v>141</v>
      </c>
      <c r="U240" s="40">
        <v>13272</v>
      </c>
      <c r="V240" s="40"/>
      <c r="W240" s="40">
        <v>1459</v>
      </c>
    </row>
    <row r="241" spans="1:23">
      <c r="A241" s="40">
        <v>2010</v>
      </c>
      <c r="B241" s="40" t="s">
        <v>103</v>
      </c>
      <c r="C241" s="40" t="s">
        <v>44</v>
      </c>
      <c r="D241" s="40" t="s">
        <v>141</v>
      </c>
      <c r="E241" s="40">
        <v>13272</v>
      </c>
      <c r="F241" s="40"/>
      <c r="G241" s="40">
        <v>1459</v>
      </c>
      <c r="Q241" s="39">
        <v>2010</v>
      </c>
      <c r="R241" s="39" t="s">
        <v>103</v>
      </c>
      <c r="S241" s="39" t="s">
        <v>44</v>
      </c>
      <c r="T241" s="39" t="s">
        <v>142</v>
      </c>
      <c r="U241" s="39">
        <v>8495</v>
      </c>
      <c r="V241" s="39"/>
      <c r="W241" s="39">
        <v>1104</v>
      </c>
    </row>
    <row r="242" spans="1:23">
      <c r="A242" s="39">
        <v>2010</v>
      </c>
      <c r="B242" s="39" t="s">
        <v>103</v>
      </c>
      <c r="C242" s="39" t="s">
        <v>44</v>
      </c>
      <c r="D242" s="39" t="s">
        <v>142</v>
      </c>
      <c r="E242" s="39">
        <v>8495</v>
      </c>
      <c r="F242" s="39"/>
      <c r="G242" s="39">
        <v>1104</v>
      </c>
      <c r="Q242" s="40">
        <v>2010</v>
      </c>
      <c r="R242" s="40" t="s">
        <v>103</v>
      </c>
      <c r="S242" s="40" t="s">
        <v>44</v>
      </c>
      <c r="T242" s="40" t="s">
        <v>143</v>
      </c>
      <c r="U242" s="40">
        <v>5781</v>
      </c>
      <c r="V242" s="40"/>
      <c r="W242" s="40">
        <v>751</v>
      </c>
    </row>
    <row r="243" spans="1:23">
      <c r="A243" s="40">
        <v>2010</v>
      </c>
      <c r="B243" s="40" t="s">
        <v>103</v>
      </c>
      <c r="C243" s="40" t="s">
        <v>44</v>
      </c>
      <c r="D243" s="40" t="s">
        <v>143</v>
      </c>
      <c r="E243" s="40">
        <v>5781</v>
      </c>
      <c r="F243" s="40"/>
      <c r="G243" s="40">
        <v>751</v>
      </c>
      <c r="Q243" s="39">
        <v>2010</v>
      </c>
      <c r="R243" s="39" t="s">
        <v>103</v>
      </c>
      <c r="S243" s="39" t="s">
        <v>44</v>
      </c>
      <c r="T243" s="39" t="s">
        <v>144</v>
      </c>
      <c r="U243" s="39">
        <v>1547</v>
      </c>
      <c r="V243" s="39"/>
      <c r="W243" s="39">
        <v>201</v>
      </c>
    </row>
    <row r="244" spans="1:23">
      <c r="A244" s="39">
        <v>2010</v>
      </c>
      <c r="B244" s="39" t="s">
        <v>103</v>
      </c>
      <c r="C244" s="39" t="s">
        <v>44</v>
      </c>
      <c r="D244" s="39" t="s">
        <v>144</v>
      </c>
      <c r="E244" s="39">
        <v>1547</v>
      </c>
      <c r="F244" s="39"/>
      <c r="G244" s="39">
        <v>201</v>
      </c>
      <c r="Q244" s="40">
        <v>2010</v>
      </c>
      <c r="R244" s="40" t="s">
        <v>103</v>
      </c>
      <c r="S244" s="40" t="s">
        <v>44</v>
      </c>
      <c r="T244" s="40" t="s">
        <v>145</v>
      </c>
      <c r="U244" s="40">
        <v>1579</v>
      </c>
      <c r="V244" s="40"/>
      <c r="W244" s="40">
        <v>205</v>
      </c>
    </row>
    <row r="245" spans="1:23">
      <c r="A245" s="40">
        <v>2010</v>
      </c>
      <c r="B245" s="40" t="s">
        <v>103</v>
      </c>
      <c r="C245" s="40" t="s">
        <v>44</v>
      </c>
      <c r="D245" s="40" t="s">
        <v>145</v>
      </c>
      <c r="E245" s="40">
        <v>1579</v>
      </c>
      <c r="F245" s="40"/>
      <c r="G245" s="40">
        <v>205</v>
      </c>
      <c r="Q245" s="39">
        <v>2010</v>
      </c>
      <c r="R245" s="39" t="s">
        <v>103</v>
      </c>
      <c r="S245" s="39" t="s">
        <v>44</v>
      </c>
      <c r="T245" s="39" t="s">
        <v>146</v>
      </c>
      <c r="U245" s="39">
        <v>913</v>
      </c>
      <c r="V245" s="39"/>
      <c r="W245" s="39">
        <v>118</v>
      </c>
    </row>
    <row r="246" spans="1:23">
      <c r="A246" s="39">
        <v>2010</v>
      </c>
      <c r="B246" s="39" t="s">
        <v>103</v>
      </c>
      <c r="C246" s="39" t="s">
        <v>44</v>
      </c>
      <c r="D246" s="39" t="s">
        <v>146</v>
      </c>
      <c r="E246" s="39">
        <v>913</v>
      </c>
      <c r="F246" s="39"/>
      <c r="G246" s="39">
        <v>118</v>
      </c>
      <c r="Q246" s="40">
        <v>2010</v>
      </c>
      <c r="R246" s="40" t="s">
        <v>103</v>
      </c>
      <c r="S246" s="40" t="s">
        <v>44</v>
      </c>
      <c r="T246" s="40" t="s">
        <v>147</v>
      </c>
      <c r="U246" s="40">
        <v>408</v>
      </c>
      <c r="V246" s="40"/>
      <c r="W246" s="40">
        <v>53</v>
      </c>
    </row>
    <row r="247" spans="1:23">
      <c r="A247" s="40">
        <v>2010</v>
      </c>
      <c r="B247" s="40" t="s">
        <v>103</v>
      </c>
      <c r="C247" s="40" t="s">
        <v>44</v>
      </c>
      <c r="D247" s="40" t="s">
        <v>147</v>
      </c>
      <c r="E247" s="40">
        <v>408</v>
      </c>
      <c r="F247" s="40"/>
      <c r="G247" s="40">
        <v>53</v>
      </c>
      <c r="Q247" s="39"/>
      <c r="R247" s="39"/>
      <c r="S247" s="39"/>
      <c r="T247" s="39"/>
      <c r="U247" s="39"/>
      <c r="V247" s="39"/>
      <c r="W247" s="39"/>
    </row>
    <row r="248" spans="1:23">
      <c r="A248" s="39"/>
      <c r="B248" s="39"/>
      <c r="C248" s="39"/>
      <c r="D248" s="39"/>
      <c r="E248" s="39"/>
      <c r="F248" s="39"/>
      <c r="G248" s="39"/>
      <c r="Q248" s="40">
        <v>2010</v>
      </c>
      <c r="R248" s="40" t="s">
        <v>104</v>
      </c>
      <c r="S248" s="40" t="s">
        <v>44</v>
      </c>
      <c r="T248" s="40" t="s">
        <v>130</v>
      </c>
      <c r="U248" s="40">
        <v>168680</v>
      </c>
      <c r="V248" s="40"/>
      <c r="W248" s="40">
        <v>21928</v>
      </c>
    </row>
    <row r="249" spans="1:23">
      <c r="A249" s="40">
        <v>2010</v>
      </c>
      <c r="B249" s="40" t="s">
        <v>104</v>
      </c>
      <c r="C249" s="40" t="s">
        <v>44</v>
      </c>
      <c r="D249" s="40" t="s">
        <v>130</v>
      </c>
      <c r="E249" s="40">
        <v>168680</v>
      </c>
      <c r="F249" s="40"/>
      <c r="G249" s="40">
        <v>21928</v>
      </c>
      <c r="Q249" s="39">
        <v>2010</v>
      </c>
      <c r="R249" s="39" t="s">
        <v>104</v>
      </c>
      <c r="S249" s="39" t="s">
        <v>44</v>
      </c>
      <c r="T249" s="39" t="s">
        <v>131</v>
      </c>
      <c r="U249" s="39">
        <v>126969</v>
      </c>
      <c r="V249" s="39"/>
      <c r="W249" s="39">
        <v>13966</v>
      </c>
    </row>
    <row r="250" spans="1:23">
      <c r="A250" s="39">
        <v>2010</v>
      </c>
      <c r="B250" s="39" t="s">
        <v>104</v>
      </c>
      <c r="C250" s="39" t="s">
        <v>44</v>
      </c>
      <c r="D250" s="39" t="s">
        <v>131</v>
      </c>
      <c r="E250" s="39">
        <v>126969</v>
      </c>
      <c r="F250" s="39"/>
      <c r="G250" s="39">
        <v>13966</v>
      </c>
      <c r="Q250" s="40">
        <v>2010</v>
      </c>
      <c r="R250" s="40" t="s">
        <v>104</v>
      </c>
      <c r="S250" s="40" t="s">
        <v>44</v>
      </c>
      <c r="T250" s="40" t="s">
        <v>132</v>
      </c>
      <c r="U250" s="40">
        <v>102007</v>
      </c>
      <c r="V250" s="40"/>
      <c r="W250" s="40">
        <v>11220</v>
      </c>
    </row>
    <row r="251" spans="1:23">
      <c r="A251" s="40">
        <v>2010</v>
      </c>
      <c r="B251" s="40" t="s">
        <v>104</v>
      </c>
      <c r="C251" s="40" t="s">
        <v>44</v>
      </c>
      <c r="D251" s="40" t="s">
        <v>132</v>
      </c>
      <c r="E251" s="40">
        <v>102007</v>
      </c>
      <c r="F251" s="40"/>
      <c r="G251" s="40">
        <v>11220</v>
      </c>
      <c r="Q251" s="39">
        <v>2010</v>
      </c>
      <c r="R251" s="39" t="s">
        <v>104</v>
      </c>
      <c r="S251" s="39" t="s">
        <v>44</v>
      </c>
      <c r="T251" s="39" t="s">
        <v>117</v>
      </c>
      <c r="U251" s="39">
        <v>85898</v>
      </c>
      <c r="V251" s="39"/>
      <c r="W251" s="39">
        <v>9448</v>
      </c>
    </row>
    <row r="252" spans="1:23">
      <c r="A252" s="39">
        <v>2010</v>
      </c>
      <c r="B252" s="39" t="s">
        <v>104</v>
      </c>
      <c r="C252" s="39" t="s">
        <v>44</v>
      </c>
      <c r="D252" s="39" t="s">
        <v>117</v>
      </c>
      <c r="E252" s="39">
        <v>85898</v>
      </c>
      <c r="F252" s="39"/>
      <c r="G252" s="39">
        <v>9448</v>
      </c>
      <c r="Q252" s="40">
        <v>2010</v>
      </c>
      <c r="R252" s="40" t="s">
        <v>104</v>
      </c>
      <c r="S252" s="40" t="s">
        <v>44</v>
      </c>
      <c r="T252" s="40" t="s">
        <v>133</v>
      </c>
      <c r="U252" s="40">
        <v>61390</v>
      </c>
      <c r="V252" s="40"/>
      <c r="W252" s="40">
        <v>6752</v>
      </c>
    </row>
    <row r="253" spans="1:23">
      <c r="A253" s="40">
        <v>2010</v>
      </c>
      <c r="B253" s="40" t="s">
        <v>104</v>
      </c>
      <c r="C253" s="40" t="s">
        <v>44</v>
      </c>
      <c r="D253" s="40" t="s">
        <v>133</v>
      </c>
      <c r="E253" s="40">
        <v>61390</v>
      </c>
      <c r="F253" s="40"/>
      <c r="G253" s="40">
        <v>6752</v>
      </c>
      <c r="Q253" s="39">
        <v>2010</v>
      </c>
      <c r="R253" s="39" t="s">
        <v>104</v>
      </c>
      <c r="S253" s="39" t="s">
        <v>44</v>
      </c>
      <c r="T253" s="39" t="s">
        <v>134</v>
      </c>
      <c r="U253" s="39">
        <v>56618</v>
      </c>
      <c r="V253" s="39"/>
      <c r="W253" s="39">
        <v>6227</v>
      </c>
    </row>
    <row r="254" spans="1:23">
      <c r="A254" s="39">
        <v>2010</v>
      </c>
      <c r="B254" s="39" t="s">
        <v>104</v>
      </c>
      <c r="C254" s="39" t="s">
        <v>44</v>
      </c>
      <c r="D254" s="39" t="s">
        <v>134</v>
      </c>
      <c r="E254" s="39">
        <v>56618</v>
      </c>
      <c r="F254" s="39"/>
      <c r="G254" s="39">
        <v>6227</v>
      </c>
      <c r="Q254" s="40">
        <v>2010</v>
      </c>
      <c r="R254" s="40" t="s">
        <v>104</v>
      </c>
      <c r="S254" s="40" t="s">
        <v>44</v>
      </c>
      <c r="T254" s="40" t="s">
        <v>135</v>
      </c>
      <c r="U254" s="40">
        <v>43111</v>
      </c>
      <c r="V254" s="40"/>
      <c r="W254" s="40">
        <v>4742</v>
      </c>
    </row>
    <row r="255" spans="1:23">
      <c r="A255" s="40">
        <v>2010</v>
      </c>
      <c r="B255" s="40" t="s">
        <v>104</v>
      </c>
      <c r="C255" s="40" t="s">
        <v>44</v>
      </c>
      <c r="D255" s="40" t="s">
        <v>135</v>
      </c>
      <c r="E255" s="40">
        <v>43111</v>
      </c>
      <c r="F255" s="40"/>
      <c r="G255" s="40">
        <v>4742</v>
      </c>
      <c r="Q255" s="39">
        <v>2010</v>
      </c>
      <c r="R255" s="39" t="s">
        <v>104</v>
      </c>
      <c r="S255" s="39" t="s">
        <v>44</v>
      </c>
      <c r="T255" s="39" t="s">
        <v>136</v>
      </c>
      <c r="U255" s="39">
        <v>38770</v>
      </c>
      <c r="V255" s="39"/>
      <c r="W255" s="39">
        <v>4264</v>
      </c>
    </row>
    <row r="256" spans="1:23">
      <c r="A256" s="39">
        <v>2010</v>
      </c>
      <c r="B256" s="39" t="s">
        <v>104</v>
      </c>
      <c r="C256" s="39" t="s">
        <v>44</v>
      </c>
      <c r="D256" s="39" t="s">
        <v>136</v>
      </c>
      <c r="E256" s="39">
        <v>38770</v>
      </c>
      <c r="F256" s="39"/>
      <c r="G256" s="39">
        <v>4264</v>
      </c>
      <c r="Q256" s="40">
        <v>2010</v>
      </c>
      <c r="R256" s="40" t="s">
        <v>104</v>
      </c>
      <c r="S256" s="40" t="s">
        <v>44</v>
      </c>
      <c r="T256" s="40" t="s">
        <v>137</v>
      </c>
      <c r="U256" s="40">
        <v>24438</v>
      </c>
      <c r="V256" s="40"/>
      <c r="W256" s="40">
        <v>2688</v>
      </c>
    </row>
    <row r="257" spans="1:23">
      <c r="A257" s="40">
        <v>2010</v>
      </c>
      <c r="B257" s="40" t="s">
        <v>104</v>
      </c>
      <c r="C257" s="40" t="s">
        <v>44</v>
      </c>
      <c r="D257" s="40" t="s">
        <v>137</v>
      </c>
      <c r="E257" s="40">
        <v>24438</v>
      </c>
      <c r="F257" s="40"/>
      <c r="G257" s="40">
        <v>2688</v>
      </c>
      <c r="Q257" s="39">
        <v>2010</v>
      </c>
      <c r="R257" s="39" t="s">
        <v>104</v>
      </c>
      <c r="S257" s="39" t="s">
        <v>44</v>
      </c>
      <c r="T257" s="39" t="s">
        <v>138</v>
      </c>
      <c r="U257" s="39">
        <v>22084</v>
      </c>
      <c r="V257" s="39"/>
      <c r="W257" s="39">
        <v>2429</v>
      </c>
    </row>
    <row r="258" spans="1:23">
      <c r="A258" s="39">
        <v>2010</v>
      </c>
      <c r="B258" s="39" t="s">
        <v>104</v>
      </c>
      <c r="C258" s="39" t="s">
        <v>44</v>
      </c>
      <c r="D258" s="39" t="s">
        <v>138</v>
      </c>
      <c r="E258" s="39">
        <v>22084</v>
      </c>
      <c r="F258" s="39"/>
      <c r="G258" s="39">
        <v>2429</v>
      </c>
      <c r="Q258" s="40">
        <v>2010</v>
      </c>
      <c r="R258" s="40" t="s">
        <v>104</v>
      </c>
      <c r="S258" s="40" t="s">
        <v>44</v>
      </c>
      <c r="T258" s="40" t="s">
        <v>139</v>
      </c>
      <c r="U258" s="40">
        <v>13711</v>
      </c>
      <c r="V258" s="40"/>
      <c r="W258" s="40">
        <v>1508</v>
      </c>
    </row>
    <row r="259" spans="1:23">
      <c r="A259" s="40">
        <v>2010</v>
      </c>
      <c r="B259" s="40" t="s">
        <v>104</v>
      </c>
      <c r="C259" s="40" t="s">
        <v>44</v>
      </c>
      <c r="D259" s="40" t="s">
        <v>139</v>
      </c>
      <c r="E259" s="40">
        <v>13711</v>
      </c>
      <c r="F259" s="40"/>
      <c r="G259" s="40">
        <v>1508</v>
      </c>
      <c r="Q259" s="39">
        <v>2010</v>
      </c>
      <c r="R259" s="39" t="s">
        <v>104</v>
      </c>
      <c r="S259" s="39" t="s">
        <v>44</v>
      </c>
      <c r="T259" s="39" t="s">
        <v>140</v>
      </c>
      <c r="U259" s="39">
        <v>11788</v>
      </c>
      <c r="V259" s="39"/>
      <c r="W259" s="39">
        <v>1296</v>
      </c>
    </row>
    <row r="260" spans="1:23">
      <c r="A260" s="39">
        <v>2010</v>
      </c>
      <c r="B260" s="39" t="s">
        <v>104</v>
      </c>
      <c r="C260" s="39" t="s">
        <v>44</v>
      </c>
      <c r="D260" s="39" t="s">
        <v>140</v>
      </c>
      <c r="E260" s="39">
        <v>11788</v>
      </c>
      <c r="F260" s="39"/>
      <c r="G260" s="39">
        <v>1296</v>
      </c>
      <c r="Q260" s="40">
        <v>2010</v>
      </c>
      <c r="R260" s="40" t="s">
        <v>104</v>
      </c>
      <c r="S260" s="40" t="s">
        <v>44</v>
      </c>
      <c r="T260" s="40" t="s">
        <v>141</v>
      </c>
      <c r="U260" s="40">
        <v>8526</v>
      </c>
      <c r="V260" s="40"/>
      <c r="W260" s="40">
        <v>937</v>
      </c>
    </row>
    <row r="261" spans="1:23">
      <c r="A261" s="40">
        <v>2010</v>
      </c>
      <c r="B261" s="40" t="s">
        <v>104</v>
      </c>
      <c r="C261" s="40" t="s">
        <v>44</v>
      </c>
      <c r="D261" s="40" t="s">
        <v>141</v>
      </c>
      <c r="E261" s="40">
        <v>8526</v>
      </c>
      <c r="F261" s="40"/>
      <c r="G261" s="40">
        <v>937</v>
      </c>
      <c r="Q261" s="39">
        <v>2010</v>
      </c>
      <c r="R261" s="39" t="s">
        <v>104</v>
      </c>
      <c r="S261" s="39" t="s">
        <v>44</v>
      </c>
      <c r="T261" s="39" t="s">
        <v>142</v>
      </c>
      <c r="U261" s="39">
        <v>7448</v>
      </c>
      <c r="V261" s="39"/>
      <c r="W261" s="39">
        <v>968</v>
      </c>
    </row>
    <row r="262" spans="1:23">
      <c r="A262" s="39">
        <v>2010</v>
      </c>
      <c r="B262" s="39" t="s">
        <v>104</v>
      </c>
      <c r="C262" s="39" t="s">
        <v>44</v>
      </c>
      <c r="D262" s="39" t="s">
        <v>142</v>
      </c>
      <c r="E262" s="39">
        <v>7448</v>
      </c>
      <c r="F262" s="39"/>
      <c r="G262" s="39">
        <v>968</v>
      </c>
      <c r="Q262" s="40">
        <v>2010</v>
      </c>
      <c r="R262" s="40" t="s">
        <v>104</v>
      </c>
      <c r="S262" s="40" t="s">
        <v>44</v>
      </c>
      <c r="T262" s="40" t="s">
        <v>143</v>
      </c>
      <c r="U262" s="40">
        <v>5115</v>
      </c>
      <c r="V262" s="40"/>
      <c r="W262" s="40">
        <v>664</v>
      </c>
    </row>
    <row r="263" spans="1:23">
      <c r="A263" s="40">
        <v>2010</v>
      </c>
      <c r="B263" s="40" t="s">
        <v>104</v>
      </c>
      <c r="C263" s="40" t="s">
        <v>44</v>
      </c>
      <c r="D263" s="40" t="s">
        <v>143</v>
      </c>
      <c r="E263" s="40">
        <v>5115</v>
      </c>
      <c r="F263" s="40"/>
      <c r="G263" s="40">
        <v>664</v>
      </c>
      <c r="Q263" s="39">
        <v>2010</v>
      </c>
      <c r="R263" s="39" t="s">
        <v>104</v>
      </c>
      <c r="S263" s="39" t="s">
        <v>44</v>
      </c>
      <c r="T263" s="39" t="s">
        <v>144</v>
      </c>
      <c r="U263" s="39">
        <v>1656</v>
      </c>
      <c r="V263" s="39"/>
      <c r="W263" s="39">
        <v>215</v>
      </c>
    </row>
    <row r="264" spans="1:23">
      <c r="A264" s="39">
        <v>2010</v>
      </c>
      <c r="B264" s="39" t="s">
        <v>104</v>
      </c>
      <c r="C264" s="39" t="s">
        <v>44</v>
      </c>
      <c r="D264" s="39" t="s">
        <v>144</v>
      </c>
      <c r="E264" s="39">
        <v>1656</v>
      </c>
      <c r="F264" s="39"/>
      <c r="G264" s="39">
        <v>215</v>
      </c>
      <c r="Q264" s="40">
        <v>2010</v>
      </c>
      <c r="R264" s="40" t="s">
        <v>104</v>
      </c>
      <c r="S264" s="40" t="s">
        <v>44</v>
      </c>
      <c r="T264" s="40" t="s">
        <v>145</v>
      </c>
      <c r="U264" s="40">
        <v>1897</v>
      </c>
      <c r="V264" s="40"/>
      <c r="W264" s="40">
        <v>246</v>
      </c>
    </row>
    <row r="265" spans="1:23">
      <c r="A265" s="40">
        <v>2010</v>
      </c>
      <c r="B265" s="40" t="s">
        <v>104</v>
      </c>
      <c r="C265" s="40" t="s">
        <v>44</v>
      </c>
      <c r="D265" s="40" t="s">
        <v>145</v>
      </c>
      <c r="E265" s="40">
        <v>1897</v>
      </c>
      <c r="F265" s="40"/>
      <c r="G265" s="40">
        <v>246</v>
      </c>
      <c r="Q265" s="39">
        <v>2010</v>
      </c>
      <c r="R265" s="39" t="s">
        <v>104</v>
      </c>
      <c r="S265" s="39" t="s">
        <v>44</v>
      </c>
      <c r="T265" s="39" t="s">
        <v>146</v>
      </c>
      <c r="U265" s="39">
        <v>1315</v>
      </c>
      <c r="V265" s="39"/>
      <c r="W265" s="39">
        <v>170</v>
      </c>
    </row>
    <row r="266" spans="1:23">
      <c r="A266" s="39">
        <v>2010</v>
      </c>
      <c r="B266" s="39" t="s">
        <v>104</v>
      </c>
      <c r="C266" s="39" t="s">
        <v>44</v>
      </c>
      <c r="D266" s="39" t="s">
        <v>146</v>
      </c>
      <c r="E266" s="39">
        <v>1315</v>
      </c>
      <c r="F266" s="39"/>
      <c r="G266" s="39">
        <v>170</v>
      </c>
      <c r="Q266" s="40">
        <v>2010</v>
      </c>
      <c r="R266" s="40" t="s">
        <v>104</v>
      </c>
      <c r="S266" s="40" t="s">
        <v>44</v>
      </c>
      <c r="T266" s="40" t="s">
        <v>147</v>
      </c>
      <c r="U266" s="40">
        <v>742</v>
      </c>
      <c r="V266" s="40"/>
      <c r="W266" s="40">
        <v>96</v>
      </c>
    </row>
    <row r="267" spans="1:23">
      <c r="A267" s="40">
        <v>2010</v>
      </c>
      <c r="B267" s="40" t="s">
        <v>104</v>
      </c>
      <c r="C267" s="40" t="s">
        <v>44</v>
      </c>
      <c r="D267" s="40" t="s">
        <v>147</v>
      </c>
      <c r="E267" s="40">
        <v>742</v>
      </c>
      <c r="F267" s="40"/>
      <c r="G267" s="40">
        <v>96</v>
      </c>
      <c r="Q267" s="39"/>
      <c r="R267" s="39"/>
      <c r="S267" s="39"/>
      <c r="T267" s="39"/>
      <c r="U267" s="39"/>
      <c r="V267" s="39"/>
      <c r="W267" s="39"/>
    </row>
    <row r="268" spans="1:23">
      <c r="A268" s="39"/>
      <c r="B268" s="39"/>
      <c r="C268" s="39"/>
      <c r="D268" s="39"/>
      <c r="E268" s="39"/>
      <c r="F268" s="39"/>
      <c r="G268" s="39"/>
      <c r="Q268" s="40">
        <v>2010</v>
      </c>
      <c r="R268" s="40" t="s">
        <v>105</v>
      </c>
      <c r="S268" s="40" t="s">
        <v>44</v>
      </c>
      <c r="T268" s="40" t="s">
        <v>130</v>
      </c>
      <c r="U268" s="40">
        <v>107934</v>
      </c>
      <c r="V268" s="40"/>
      <c r="W268" s="40">
        <v>14031</v>
      </c>
    </row>
    <row r="269" spans="1:23">
      <c r="A269" s="40">
        <v>2010</v>
      </c>
      <c r="B269" s="40" t="s">
        <v>105</v>
      </c>
      <c r="C269" s="40" t="s">
        <v>44</v>
      </c>
      <c r="D269" s="40" t="s">
        <v>130</v>
      </c>
      <c r="E269" s="40">
        <v>107934</v>
      </c>
      <c r="F269" s="40"/>
      <c r="G269" s="40">
        <v>14031</v>
      </c>
      <c r="Q269" s="39">
        <v>2010</v>
      </c>
      <c r="R269" s="39" t="s">
        <v>105</v>
      </c>
      <c r="S269" s="39" t="s">
        <v>44</v>
      </c>
      <c r="T269" s="39" t="s">
        <v>131</v>
      </c>
      <c r="U269" s="39">
        <v>80900</v>
      </c>
      <c r="V269" s="39"/>
      <c r="W269" s="39">
        <v>8899</v>
      </c>
    </row>
    <row r="270" spans="1:23">
      <c r="A270" s="39">
        <v>2010</v>
      </c>
      <c r="B270" s="39" t="s">
        <v>105</v>
      </c>
      <c r="C270" s="39" t="s">
        <v>44</v>
      </c>
      <c r="D270" s="39" t="s">
        <v>131</v>
      </c>
      <c r="E270" s="39">
        <v>80900</v>
      </c>
      <c r="F270" s="39"/>
      <c r="G270" s="39">
        <v>8899</v>
      </c>
      <c r="Q270" s="40">
        <v>2010</v>
      </c>
      <c r="R270" s="40" t="s">
        <v>105</v>
      </c>
      <c r="S270" s="40" t="s">
        <v>44</v>
      </c>
      <c r="T270" s="40" t="s">
        <v>132</v>
      </c>
      <c r="U270" s="40">
        <v>61021</v>
      </c>
      <c r="V270" s="40"/>
      <c r="W270" s="40">
        <v>6712</v>
      </c>
    </row>
    <row r="271" spans="1:23">
      <c r="A271" s="40">
        <v>2010</v>
      </c>
      <c r="B271" s="40" t="s">
        <v>105</v>
      </c>
      <c r="C271" s="40" t="s">
        <v>44</v>
      </c>
      <c r="D271" s="40" t="s">
        <v>132</v>
      </c>
      <c r="E271" s="40">
        <v>61021</v>
      </c>
      <c r="F271" s="40"/>
      <c r="G271" s="40">
        <v>6712</v>
      </c>
      <c r="Q271" s="39">
        <v>2010</v>
      </c>
      <c r="R271" s="39" t="s">
        <v>105</v>
      </c>
      <c r="S271" s="39" t="s">
        <v>44</v>
      </c>
      <c r="T271" s="39" t="s">
        <v>117</v>
      </c>
      <c r="U271" s="39">
        <v>51765</v>
      </c>
      <c r="V271" s="39"/>
      <c r="W271" s="39">
        <v>5694</v>
      </c>
    </row>
    <row r="272" spans="1:23">
      <c r="A272" s="39">
        <v>2010</v>
      </c>
      <c r="B272" s="39" t="s">
        <v>105</v>
      </c>
      <c r="C272" s="39" t="s">
        <v>44</v>
      </c>
      <c r="D272" s="39" t="s">
        <v>117</v>
      </c>
      <c r="E272" s="39">
        <v>51765</v>
      </c>
      <c r="F272" s="39"/>
      <c r="G272" s="39">
        <v>5694</v>
      </c>
      <c r="Q272" s="40">
        <v>2010</v>
      </c>
      <c r="R272" s="40" t="s">
        <v>105</v>
      </c>
      <c r="S272" s="40" t="s">
        <v>44</v>
      </c>
      <c r="T272" s="40" t="s">
        <v>133</v>
      </c>
      <c r="U272" s="40">
        <v>33703</v>
      </c>
      <c r="V272" s="40"/>
      <c r="W272" s="40">
        <v>3707</v>
      </c>
    </row>
    <row r="273" spans="1:23">
      <c r="A273" s="40">
        <v>2010</v>
      </c>
      <c r="B273" s="40" t="s">
        <v>105</v>
      </c>
      <c r="C273" s="40" t="s">
        <v>44</v>
      </c>
      <c r="D273" s="40" t="s">
        <v>133</v>
      </c>
      <c r="E273" s="40">
        <v>33703</v>
      </c>
      <c r="F273" s="40"/>
      <c r="G273" s="40">
        <v>3707</v>
      </c>
      <c r="Q273" s="39">
        <v>2010</v>
      </c>
      <c r="R273" s="39" t="s">
        <v>105</v>
      </c>
      <c r="S273" s="39" t="s">
        <v>44</v>
      </c>
      <c r="T273" s="39" t="s">
        <v>134</v>
      </c>
      <c r="U273" s="39">
        <v>34352</v>
      </c>
      <c r="V273" s="39"/>
      <c r="W273" s="39">
        <v>3778</v>
      </c>
    </row>
    <row r="274" spans="1:23">
      <c r="A274" s="39">
        <v>2010</v>
      </c>
      <c r="B274" s="39" t="s">
        <v>105</v>
      </c>
      <c r="C274" s="39" t="s">
        <v>44</v>
      </c>
      <c r="D274" s="39" t="s">
        <v>134</v>
      </c>
      <c r="E274" s="39">
        <v>34352</v>
      </c>
      <c r="F274" s="39"/>
      <c r="G274" s="39">
        <v>3778</v>
      </c>
      <c r="Q274" s="40">
        <v>2010</v>
      </c>
      <c r="R274" s="40" t="s">
        <v>105</v>
      </c>
      <c r="S274" s="40" t="s">
        <v>44</v>
      </c>
      <c r="T274" s="40" t="s">
        <v>135</v>
      </c>
      <c r="U274" s="40">
        <v>26733</v>
      </c>
      <c r="V274" s="40"/>
      <c r="W274" s="40">
        <v>2940</v>
      </c>
    </row>
    <row r="275" spans="1:23">
      <c r="A275" s="40">
        <v>2010</v>
      </c>
      <c r="B275" s="40" t="s">
        <v>105</v>
      </c>
      <c r="C275" s="40" t="s">
        <v>44</v>
      </c>
      <c r="D275" s="40" t="s">
        <v>135</v>
      </c>
      <c r="E275" s="40">
        <v>26733</v>
      </c>
      <c r="F275" s="40"/>
      <c r="G275" s="40">
        <v>2940</v>
      </c>
      <c r="Q275" s="39">
        <v>2010</v>
      </c>
      <c r="R275" s="39" t="s">
        <v>105</v>
      </c>
      <c r="S275" s="39" t="s">
        <v>44</v>
      </c>
      <c r="T275" s="39" t="s">
        <v>136</v>
      </c>
      <c r="U275" s="39">
        <v>24694</v>
      </c>
      <c r="V275" s="39"/>
      <c r="W275" s="39">
        <v>2716</v>
      </c>
    </row>
    <row r="276" spans="1:23">
      <c r="A276" s="39">
        <v>2010</v>
      </c>
      <c r="B276" s="39" t="s">
        <v>105</v>
      </c>
      <c r="C276" s="39" t="s">
        <v>44</v>
      </c>
      <c r="D276" s="39" t="s">
        <v>136</v>
      </c>
      <c r="E276" s="39">
        <v>24694</v>
      </c>
      <c r="F276" s="39"/>
      <c r="G276" s="39">
        <v>2716</v>
      </c>
      <c r="Q276" s="40">
        <v>2010</v>
      </c>
      <c r="R276" s="40" t="s">
        <v>105</v>
      </c>
      <c r="S276" s="40" t="s">
        <v>44</v>
      </c>
      <c r="T276" s="40" t="s">
        <v>137</v>
      </c>
      <c r="U276" s="40">
        <v>17061</v>
      </c>
      <c r="V276" s="40"/>
      <c r="W276" s="40">
        <v>1876</v>
      </c>
    </row>
    <row r="277" spans="1:23">
      <c r="A277" s="40">
        <v>2010</v>
      </c>
      <c r="B277" s="40" t="s">
        <v>105</v>
      </c>
      <c r="C277" s="40" t="s">
        <v>44</v>
      </c>
      <c r="D277" s="40" t="s">
        <v>137</v>
      </c>
      <c r="E277" s="40">
        <v>17061</v>
      </c>
      <c r="F277" s="40"/>
      <c r="G277" s="40">
        <v>1876</v>
      </c>
      <c r="Q277" s="39">
        <v>2010</v>
      </c>
      <c r="R277" s="39" t="s">
        <v>105</v>
      </c>
      <c r="S277" s="39" t="s">
        <v>44</v>
      </c>
      <c r="T277" s="39" t="s">
        <v>138</v>
      </c>
      <c r="U277" s="39">
        <v>14654</v>
      </c>
      <c r="V277" s="39"/>
      <c r="W277" s="39">
        <v>1611</v>
      </c>
    </row>
    <row r="278" spans="1:23">
      <c r="A278" s="39">
        <v>2010</v>
      </c>
      <c r="B278" s="39" t="s">
        <v>105</v>
      </c>
      <c r="C278" s="39" t="s">
        <v>44</v>
      </c>
      <c r="D278" s="39" t="s">
        <v>138</v>
      </c>
      <c r="E278" s="39">
        <v>14654</v>
      </c>
      <c r="F278" s="39"/>
      <c r="G278" s="39">
        <v>1611</v>
      </c>
      <c r="Q278" s="40">
        <v>2010</v>
      </c>
      <c r="R278" s="40" t="s">
        <v>105</v>
      </c>
      <c r="S278" s="40" t="s">
        <v>44</v>
      </c>
      <c r="T278" s="40" t="s">
        <v>139</v>
      </c>
      <c r="U278" s="40">
        <v>9975</v>
      </c>
      <c r="V278" s="40"/>
      <c r="W278" s="40">
        <v>1097</v>
      </c>
    </row>
    <row r="279" spans="1:23">
      <c r="A279" s="40">
        <v>2010</v>
      </c>
      <c r="B279" s="40" t="s">
        <v>105</v>
      </c>
      <c r="C279" s="40" t="s">
        <v>44</v>
      </c>
      <c r="D279" s="40" t="s">
        <v>139</v>
      </c>
      <c r="E279" s="40">
        <v>9975</v>
      </c>
      <c r="F279" s="40"/>
      <c r="G279" s="40">
        <v>1097</v>
      </c>
      <c r="Q279" s="39">
        <v>2010</v>
      </c>
      <c r="R279" s="39" t="s">
        <v>105</v>
      </c>
      <c r="S279" s="39" t="s">
        <v>44</v>
      </c>
      <c r="T279" s="39" t="s">
        <v>140</v>
      </c>
      <c r="U279" s="39">
        <v>7990</v>
      </c>
      <c r="V279" s="39"/>
      <c r="W279" s="39">
        <v>878</v>
      </c>
    </row>
    <row r="280" spans="1:23">
      <c r="A280" s="39">
        <v>2010</v>
      </c>
      <c r="B280" s="39" t="s">
        <v>105</v>
      </c>
      <c r="C280" s="39" t="s">
        <v>44</v>
      </c>
      <c r="D280" s="39" t="s">
        <v>140</v>
      </c>
      <c r="E280" s="39">
        <v>7990</v>
      </c>
      <c r="F280" s="39"/>
      <c r="G280" s="39">
        <v>878</v>
      </c>
      <c r="Q280" s="40">
        <v>2010</v>
      </c>
      <c r="R280" s="40" t="s">
        <v>105</v>
      </c>
      <c r="S280" s="40" t="s">
        <v>44</v>
      </c>
      <c r="T280" s="40" t="s">
        <v>141</v>
      </c>
      <c r="U280" s="40">
        <v>5943</v>
      </c>
      <c r="V280" s="40"/>
      <c r="W280" s="40">
        <v>653</v>
      </c>
    </row>
    <row r="281" spans="1:23">
      <c r="A281" s="40">
        <v>2010</v>
      </c>
      <c r="B281" s="40" t="s">
        <v>105</v>
      </c>
      <c r="C281" s="40" t="s">
        <v>44</v>
      </c>
      <c r="D281" s="40" t="s">
        <v>141</v>
      </c>
      <c r="E281" s="40">
        <v>5943</v>
      </c>
      <c r="F281" s="40"/>
      <c r="G281" s="40">
        <v>653</v>
      </c>
      <c r="Q281" s="39">
        <v>2010</v>
      </c>
      <c r="R281" s="39" t="s">
        <v>105</v>
      </c>
      <c r="S281" s="39" t="s">
        <v>44</v>
      </c>
      <c r="T281" s="39" t="s">
        <v>142</v>
      </c>
      <c r="U281" s="39">
        <v>4700</v>
      </c>
      <c r="V281" s="39"/>
      <c r="W281" s="39">
        <v>611</v>
      </c>
    </row>
    <row r="282" spans="1:23">
      <c r="A282" s="39">
        <v>2010</v>
      </c>
      <c r="B282" s="39" t="s">
        <v>105</v>
      </c>
      <c r="C282" s="39" t="s">
        <v>44</v>
      </c>
      <c r="D282" s="39" t="s">
        <v>142</v>
      </c>
      <c r="E282" s="39">
        <v>4700</v>
      </c>
      <c r="F282" s="39"/>
      <c r="G282" s="39">
        <v>611</v>
      </c>
      <c r="Q282" s="40">
        <v>2010</v>
      </c>
      <c r="R282" s="40" t="s">
        <v>105</v>
      </c>
      <c r="S282" s="40" t="s">
        <v>44</v>
      </c>
      <c r="T282" s="40" t="s">
        <v>143</v>
      </c>
      <c r="U282" s="40">
        <v>3229</v>
      </c>
      <c r="V282" s="40"/>
      <c r="W282" s="40">
        <v>419</v>
      </c>
    </row>
    <row r="283" spans="1:23">
      <c r="A283" s="40">
        <v>2010</v>
      </c>
      <c r="B283" s="40" t="s">
        <v>105</v>
      </c>
      <c r="C283" s="40" t="s">
        <v>44</v>
      </c>
      <c r="D283" s="40" t="s">
        <v>143</v>
      </c>
      <c r="E283" s="40">
        <v>3229</v>
      </c>
      <c r="F283" s="40"/>
      <c r="G283" s="40">
        <v>419</v>
      </c>
      <c r="Q283" s="39">
        <v>2010</v>
      </c>
      <c r="R283" s="39" t="s">
        <v>105</v>
      </c>
      <c r="S283" s="39" t="s">
        <v>44</v>
      </c>
      <c r="T283" s="39" t="s">
        <v>144</v>
      </c>
      <c r="U283" s="39">
        <v>854</v>
      </c>
      <c r="V283" s="39"/>
      <c r="W283" s="39">
        <v>111</v>
      </c>
    </row>
    <row r="284" spans="1:23">
      <c r="A284" s="39">
        <v>2010</v>
      </c>
      <c r="B284" s="39" t="s">
        <v>105</v>
      </c>
      <c r="C284" s="39" t="s">
        <v>44</v>
      </c>
      <c r="D284" s="39" t="s">
        <v>144</v>
      </c>
      <c r="E284" s="39">
        <v>854</v>
      </c>
      <c r="F284" s="39"/>
      <c r="G284" s="39">
        <v>111</v>
      </c>
      <c r="Q284" s="40">
        <v>2010</v>
      </c>
      <c r="R284" s="40" t="s">
        <v>105</v>
      </c>
      <c r="S284" s="40" t="s">
        <v>44</v>
      </c>
      <c r="T284" s="40" t="s">
        <v>145</v>
      </c>
      <c r="U284" s="40">
        <v>972</v>
      </c>
      <c r="V284" s="40"/>
      <c r="W284" s="40">
        <v>126</v>
      </c>
    </row>
    <row r="285" spans="1:23">
      <c r="A285" s="40">
        <v>2010</v>
      </c>
      <c r="B285" s="40" t="s">
        <v>105</v>
      </c>
      <c r="C285" s="40" t="s">
        <v>44</v>
      </c>
      <c r="D285" s="40" t="s">
        <v>145</v>
      </c>
      <c r="E285" s="40">
        <v>972</v>
      </c>
      <c r="F285" s="40"/>
      <c r="G285" s="40">
        <v>126</v>
      </c>
      <c r="Q285" s="39">
        <v>2010</v>
      </c>
      <c r="R285" s="39" t="s">
        <v>105</v>
      </c>
      <c r="S285" s="39" t="s">
        <v>44</v>
      </c>
      <c r="T285" s="39" t="s">
        <v>146</v>
      </c>
      <c r="U285" s="39">
        <v>536</v>
      </c>
      <c r="V285" s="39"/>
      <c r="W285" s="39">
        <v>69</v>
      </c>
    </row>
    <row r="286" spans="1:23">
      <c r="A286" s="39">
        <v>2010</v>
      </c>
      <c r="B286" s="39" t="s">
        <v>105</v>
      </c>
      <c r="C286" s="39" t="s">
        <v>44</v>
      </c>
      <c r="D286" s="39" t="s">
        <v>146</v>
      </c>
      <c r="E286" s="39">
        <v>536</v>
      </c>
      <c r="F286" s="39"/>
      <c r="G286" s="39">
        <v>69</v>
      </c>
      <c r="Q286" s="40">
        <v>2010</v>
      </c>
      <c r="R286" s="40" t="s">
        <v>105</v>
      </c>
      <c r="S286" s="40" t="s">
        <v>44</v>
      </c>
      <c r="T286" s="40" t="s">
        <v>147</v>
      </c>
      <c r="U286" s="40">
        <v>202</v>
      </c>
      <c r="V286" s="40"/>
      <c r="W286" s="40">
        <v>26</v>
      </c>
    </row>
    <row r="287" spans="1:23">
      <c r="A287" s="40">
        <v>2010</v>
      </c>
      <c r="B287" s="40" t="s">
        <v>105</v>
      </c>
      <c r="C287" s="40" t="s">
        <v>44</v>
      </c>
      <c r="D287" s="40" t="s">
        <v>147</v>
      </c>
      <c r="E287" s="40">
        <v>202</v>
      </c>
      <c r="F287" s="40"/>
      <c r="G287" s="40">
        <v>26</v>
      </c>
      <c r="Q287" s="39"/>
      <c r="R287" s="39"/>
      <c r="S287" s="39"/>
      <c r="T287" s="39"/>
      <c r="U287" s="39"/>
      <c r="V287" s="39"/>
      <c r="W287" s="39"/>
    </row>
    <row r="288" spans="1:23">
      <c r="A288" s="39"/>
      <c r="B288" s="39"/>
      <c r="C288" s="39"/>
      <c r="D288" s="39"/>
      <c r="E288" s="39"/>
      <c r="F288" s="39"/>
      <c r="G288" s="39"/>
      <c r="Q288" s="40">
        <v>2010</v>
      </c>
      <c r="R288" s="40" t="s">
        <v>106</v>
      </c>
      <c r="S288" s="40" t="s">
        <v>44</v>
      </c>
      <c r="T288" s="40" t="s">
        <v>130</v>
      </c>
      <c r="U288" s="40">
        <v>194968</v>
      </c>
      <c r="V288" s="40"/>
      <c r="W288" s="40">
        <v>25345</v>
      </c>
    </row>
    <row r="289" spans="1:23">
      <c r="A289" s="40">
        <v>2010</v>
      </c>
      <c r="B289" s="40" t="s">
        <v>106</v>
      </c>
      <c r="C289" s="40" t="s">
        <v>44</v>
      </c>
      <c r="D289" s="40" t="s">
        <v>130</v>
      </c>
      <c r="E289" s="40">
        <v>194968</v>
      </c>
      <c r="F289" s="40"/>
      <c r="G289" s="40">
        <v>25345</v>
      </c>
      <c r="Q289" s="39">
        <v>2010</v>
      </c>
      <c r="R289" s="39" t="s">
        <v>106</v>
      </c>
      <c r="S289" s="39" t="s">
        <v>44</v>
      </c>
      <c r="T289" s="39" t="s">
        <v>131</v>
      </c>
      <c r="U289" s="39">
        <v>139079</v>
      </c>
      <c r="V289" s="39"/>
      <c r="W289" s="39">
        <v>15298</v>
      </c>
    </row>
    <row r="290" spans="1:23">
      <c r="A290" s="39">
        <v>2010</v>
      </c>
      <c r="B290" s="39" t="s">
        <v>106</v>
      </c>
      <c r="C290" s="39" t="s">
        <v>44</v>
      </c>
      <c r="D290" s="39" t="s">
        <v>131</v>
      </c>
      <c r="E290" s="39">
        <v>139079</v>
      </c>
      <c r="F290" s="39"/>
      <c r="G290" s="39">
        <v>15298</v>
      </c>
      <c r="Q290" s="40">
        <v>2010</v>
      </c>
      <c r="R290" s="40" t="s">
        <v>106</v>
      </c>
      <c r="S290" s="40" t="s">
        <v>44</v>
      </c>
      <c r="T290" s="40" t="s">
        <v>132</v>
      </c>
      <c r="U290" s="40">
        <v>123714</v>
      </c>
      <c r="V290" s="40"/>
      <c r="W290" s="40">
        <v>13608</v>
      </c>
    </row>
    <row r="291" spans="1:23">
      <c r="A291" s="40">
        <v>2010</v>
      </c>
      <c r="B291" s="40" t="s">
        <v>106</v>
      </c>
      <c r="C291" s="40" t="s">
        <v>44</v>
      </c>
      <c r="D291" s="40" t="s">
        <v>132</v>
      </c>
      <c r="E291" s="40">
        <v>123714</v>
      </c>
      <c r="F291" s="40"/>
      <c r="G291" s="40">
        <v>13608</v>
      </c>
      <c r="Q291" s="39">
        <v>2010</v>
      </c>
      <c r="R291" s="39" t="s">
        <v>106</v>
      </c>
      <c r="S291" s="39" t="s">
        <v>44</v>
      </c>
      <c r="T291" s="39" t="s">
        <v>117</v>
      </c>
      <c r="U291" s="39">
        <v>120211</v>
      </c>
      <c r="V291" s="39"/>
      <c r="W291" s="39">
        <v>13223</v>
      </c>
    </row>
    <row r="292" spans="1:23">
      <c r="A292" s="39">
        <v>2010</v>
      </c>
      <c r="B292" s="39" t="s">
        <v>106</v>
      </c>
      <c r="C292" s="39" t="s">
        <v>44</v>
      </c>
      <c r="D292" s="39" t="s">
        <v>117</v>
      </c>
      <c r="E292" s="39">
        <v>120211</v>
      </c>
      <c r="F292" s="39"/>
      <c r="G292" s="39">
        <v>13223</v>
      </c>
      <c r="Q292" s="40">
        <v>2010</v>
      </c>
      <c r="R292" s="40" t="s">
        <v>106</v>
      </c>
      <c r="S292" s="40" t="s">
        <v>44</v>
      </c>
      <c r="T292" s="40" t="s">
        <v>133</v>
      </c>
      <c r="U292" s="40">
        <v>105277</v>
      </c>
      <c r="V292" s="40"/>
      <c r="W292" s="40">
        <v>11580</v>
      </c>
    </row>
    <row r="293" spans="1:23">
      <c r="A293" s="40">
        <v>2010</v>
      </c>
      <c r="B293" s="40" t="s">
        <v>106</v>
      </c>
      <c r="C293" s="40" t="s">
        <v>44</v>
      </c>
      <c r="D293" s="40" t="s">
        <v>133</v>
      </c>
      <c r="E293" s="40">
        <v>105277</v>
      </c>
      <c r="F293" s="40"/>
      <c r="G293" s="40">
        <v>11580</v>
      </c>
      <c r="Q293" s="39">
        <v>2010</v>
      </c>
      <c r="R293" s="39" t="s">
        <v>106</v>
      </c>
      <c r="S293" s="39" t="s">
        <v>44</v>
      </c>
      <c r="T293" s="39" t="s">
        <v>134</v>
      </c>
      <c r="U293" s="39">
        <v>108133</v>
      </c>
      <c r="V293" s="39"/>
      <c r="W293" s="39">
        <v>11894</v>
      </c>
    </row>
    <row r="294" spans="1:23">
      <c r="A294" s="39">
        <v>2010</v>
      </c>
      <c r="B294" s="39" t="s">
        <v>106</v>
      </c>
      <c r="C294" s="39" t="s">
        <v>44</v>
      </c>
      <c r="D294" s="39" t="s">
        <v>134</v>
      </c>
      <c r="E294" s="39">
        <v>108133</v>
      </c>
      <c r="F294" s="39"/>
      <c r="G294" s="39">
        <v>11894</v>
      </c>
      <c r="Q294" s="40">
        <v>2010</v>
      </c>
      <c r="R294" s="40" t="s">
        <v>106</v>
      </c>
      <c r="S294" s="40" t="s">
        <v>44</v>
      </c>
      <c r="T294" s="40" t="s">
        <v>135</v>
      </c>
      <c r="U294" s="40">
        <v>88505</v>
      </c>
      <c r="V294" s="40"/>
      <c r="W294" s="40">
        <v>9735</v>
      </c>
    </row>
    <row r="295" spans="1:23">
      <c r="A295" s="40">
        <v>2010</v>
      </c>
      <c r="B295" s="40" t="s">
        <v>106</v>
      </c>
      <c r="C295" s="40" t="s">
        <v>44</v>
      </c>
      <c r="D295" s="40" t="s">
        <v>135</v>
      </c>
      <c r="E295" s="40">
        <v>88505</v>
      </c>
      <c r="F295" s="40"/>
      <c r="G295" s="40">
        <v>9735</v>
      </c>
      <c r="Q295" s="39">
        <v>2010</v>
      </c>
      <c r="R295" s="39" t="s">
        <v>106</v>
      </c>
      <c r="S295" s="39" t="s">
        <v>44</v>
      </c>
      <c r="T295" s="39" t="s">
        <v>136</v>
      </c>
      <c r="U295" s="39">
        <v>73254</v>
      </c>
      <c r="V295" s="39"/>
      <c r="W295" s="39">
        <v>8057</v>
      </c>
    </row>
    <row r="296" spans="1:23">
      <c r="A296" s="39">
        <v>2010</v>
      </c>
      <c r="B296" s="39" t="s">
        <v>106</v>
      </c>
      <c r="C296" s="39" t="s">
        <v>44</v>
      </c>
      <c r="D296" s="39" t="s">
        <v>136</v>
      </c>
      <c r="E296" s="39">
        <v>73254</v>
      </c>
      <c r="F296" s="39"/>
      <c r="G296" s="39">
        <v>8057</v>
      </c>
      <c r="Q296" s="40">
        <v>2010</v>
      </c>
      <c r="R296" s="40" t="s">
        <v>106</v>
      </c>
      <c r="S296" s="40" t="s">
        <v>44</v>
      </c>
      <c r="T296" s="40" t="s">
        <v>137</v>
      </c>
      <c r="U296" s="40">
        <v>41710</v>
      </c>
      <c r="V296" s="40"/>
      <c r="W296" s="40">
        <v>4588</v>
      </c>
    </row>
    <row r="297" spans="1:23">
      <c r="A297" s="40">
        <v>2010</v>
      </c>
      <c r="B297" s="40" t="s">
        <v>106</v>
      </c>
      <c r="C297" s="40" t="s">
        <v>44</v>
      </c>
      <c r="D297" s="40" t="s">
        <v>137</v>
      </c>
      <c r="E297" s="40">
        <v>41710</v>
      </c>
      <c r="F297" s="40"/>
      <c r="G297" s="40">
        <v>4588</v>
      </c>
      <c r="Q297" s="39">
        <v>2010</v>
      </c>
      <c r="R297" s="39" t="s">
        <v>106</v>
      </c>
      <c r="S297" s="39" t="s">
        <v>44</v>
      </c>
      <c r="T297" s="39" t="s">
        <v>138</v>
      </c>
      <c r="U297" s="39">
        <v>30373</v>
      </c>
      <c r="V297" s="39"/>
      <c r="W297" s="39">
        <v>3341</v>
      </c>
    </row>
    <row r="298" spans="1:23">
      <c r="A298" s="39">
        <v>2010</v>
      </c>
      <c r="B298" s="39" t="s">
        <v>106</v>
      </c>
      <c r="C298" s="39" t="s">
        <v>44</v>
      </c>
      <c r="D298" s="39" t="s">
        <v>138</v>
      </c>
      <c r="E298" s="39">
        <v>30373</v>
      </c>
      <c r="F298" s="39"/>
      <c r="G298" s="39">
        <v>3341</v>
      </c>
      <c r="Q298" s="40">
        <v>2010</v>
      </c>
      <c r="R298" s="40" t="s">
        <v>106</v>
      </c>
      <c r="S298" s="40" t="s">
        <v>44</v>
      </c>
      <c r="T298" s="40" t="s">
        <v>139</v>
      </c>
      <c r="U298" s="40">
        <v>19371</v>
      </c>
      <c r="V298" s="40"/>
      <c r="W298" s="40">
        <v>2130</v>
      </c>
    </row>
    <row r="299" spans="1:23">
      <c r="A299" s="40">
        <v>2010</v>
      </c>
      <c r="B299" s="40" t="s">
        <v>106</v>
      </c>
      <c r="C299" s="40" t="s">
        <v>44</v>
      </c>
      <c r="D299" s="40" t="s">
        <v>139</v>
      </c>
      <c r="E299" s="40">
        <v>19371</v>
      </c>
      <c r="F299" s="40"/>
      <c r="G299" s="40">
        <v>2130</v>
      </c>
      <c r="Q299" s="39">
        <v>2010</v>
      </c>
      <c r="R299" s="39" t="s">
        <v>106</v>
      </c>
      <c r="S299" s="39" t="s">
        <v>44</v>
      </c>
      <c r="T299" s="39" t="s">
        <v>140</v>
      </c>
      <c r="U299" s="39">
        <v>14202</v>
      </c>
      <c r="V299" s="39"/>
      <c r="W299" s="39">
        <v>1562</v>
      </c>
    </row>
    <row r="300" spans="1:23">
      <c r="A300" s="39">
        <v>2010</v>
      </c>
      <c r="B300" s="39" t="s">
        <v>106</v>
      </c>
      <c r="C300" s="39" t="s">
        <v>44</v>
      </c>
      <c r="D300" s="39" t="s">
        <v>140</v>
      </c>
      <c r="E300" s="39">
        <v>14202</v>
      </c>
      <c r="F300" s="39"/>
      <c r="G300" s="39">
        <v>1562</v>
      </c>
      <c r="Q300" s="40">
        <v>2010</v>
      </c>
      <c r="R300" s="40" t="s">
        <v>106</v>
      </c>
      <c r="S300" s="40" t="s">
        <v>44</v>
      </c>
      <c r="T300" s="40" t="s">
        <v>141</v>
      </c>
      <c r="U300" s="40">
        <v>9654</v>
      </c>
      <c r="V300" s="40"/>
      <c r="W300" s="40">
        <v>1061</v>
      </c>
    </row>
    <row r="301" spans="1:23">
      <c r="A301" s="40">
        <v>2010</v>
      </c>
      <c r="B301" s="40" t="s">
        <v>106</v>
      </c>
      <c r="C301" s="40" t="s">
        <v>44</v>
      </c>
      <c r="D301" s="40" t="s">
        <v>141</v>
      </c>
      <c r="E301" s="40">
        <v>9654</v>
      </c>
      <c r="F301" s="40"/>
      <c r="G301" s="40">
        <v>1061</v>
      </c>
      <c r="Q301" s="39">
        <v>2010</v>
      </c>
      <c r="R301" s="39" t="s">
        <v>106</v>
      </c>
      <c r="S301" s="39" t="s">
        <v>44</v>
      </c>
      <c r="T301" s="39" t="s">
        <v>142</v>
      </c>
      <c r="U301" s="39">
        <v>6085</v>
      </c>
      <c r="V301" s="39"/>
      <c r="W301" s="39">
        <v>791</v>
      </c>
    </row>
    <row r="302" spans="1:23">
      <c r="A302" s="39">
        <v>2010</v>
      </c>
      <c r="B302" s="39" t="s">
        <v>106</v>
      </c>
      <c r="C302" s="39" t="s">
        <v>44</v>
      </c>
      <c r="D302" s="39" t="s">
        <v>142</v>
      </c>
      <c r="E302" s="39">
        <v>6085</v>
      </c>
      <c r="F302" s="39"/>
      <c r="G302" s="39">
        <v>791</v>
      </c>
      <c r="Q302" s="40">
        <v>2010</v>
      </c>
      <c r="R302" s="40" t="s">
        <v>106</v>
      </c>
      <c r="S302" s="40" t="s">
        <v>44</v>
      </c>
      <c r="T302" s="40" t="s">
        <v>143</v>
      </c>
      <c r="U302" s="40">
        <v>3741</v>
      </c>
      <c r="V302" s="40"/>
      <c r="W302" s="40">
        <v>486</v>
      </c>
    </row>
    <row r="303" spans="1:23">
      <c r="A303" s="40">
        <v>2010</v>
      </c>
      <c r="B303" s="40" t="s">
        <v>106</v>
      </c>
      <c r="C303" s="40" t="s">
        <v>44</v>
      </c>
      <c r="D303" s="40" t="s">
        <v>143</v>
      </c>
      <c r="E303" s="40">
        <v>3741</v>
      </c>
      <c r="F303" s="40"/>
      <c r="G303" s="40">
        <v>486</v>
      </c>
      <c r="Q303" s="39">
        <v>2010</v>
      </c>
      <c r="R303" s="39" t="s">
        <v>106</v>
      </c>
      <c r="S303" s="39" t="s">
        <v>44</v>
      </c>
      <c r="T303" s="39" t="s">
        <v>144</v>
      </c>
      <c r="U303" s="39">
        <v>994</v>
      </c>
      <c r="V303" s="39"/>
      <c r="W303" s="39">
        <v>129</v>
      </c>
    </row>
    <row r="304" spans="1:23">
      <c r="A304" s="39">
        <v>2010</v>
      </c>
      <c r="B304" s="39" t="s">
        <v>106</v>
      </c>
      <c r="C304" s="39" t="s">
        <v>44</v>
      </c>
      <c r="D304" s="39" t="s">
        <v>144</v>
      </c>
      <c r="E304" s="39">
        <v>994</v>
      </c>
      <c r="F304" s="39"/>
      <c r="G304" s="39">
        <v>129</v>
      </c>
      <c r="Q304" s="40">
        <v>2010</v>
      </c>
      <c r="R304" s="40" t="s">
        <v>106</v>
      </c>
      <c r="S304" s="40" t="s">
        <v>44</v>
      </c>
      <c r="T304" s="40" t="s">
        <v>145</v>
      </c>
      <c r="U304" s="40">
        <v>1129</v>
      </c>
      <c r="V304" s="40"/>
      <c r="W304" s="40">
        <v>146</v>
      </c>
    </row>
    <row r="305" spans="1:23">
      <c r="A305" s="40">
        <v>2010</v>
      </c>
      <c r="B305" s="40" t="s">
        <v>106</v>
      </c>
      <c r="C305" s="40" t="s">
        <v>44</v>
      </c>
      <c r="D305" s="40" t="s">
        <v>145</v>
      </c>
      <c r="E305" s="40">
        <v>1129</v>
      </c>
      <c r="F305" s="40"/>
      <c r="G305" s="40">
        <v>146</v>
      </c>
      <c r="Q305" s="39">
        <v>2010</v>
      </c>
      <c r="R305" s="39" t="s">
        <v>106</v>
      </c>
      <c r="S305" s="39" t="s">
        <v>44</v>
      </c>
      <c r="T305" s="39" t="s">
        <v>146</v>
      </c>
      <c r="U305" s="39">
        <v>784</v>
      </c>
      <c r="V305" s="39"/>
      <c r="W305" s="39">
        <v>101</v>
      </c>
    </row>
    <row r="306" spans="1:23">
      <c r="A306" s="39">
        <v>2010</v>
      </c>
      <c r="B306" s="39" t="s">
        <v>106</v>
      </c>
      <c r="C306" s="39" t="s">
        <v>44</v>
      </c>
      <c r="D306" s="39" t="s">
        <v>146</v>
      </c>
      <c r="E306" s="39">
        <v>784</v>
      </c>
      <c r="F306" s="39"/>
      <c r="G306" s="39">
        <v>101</v>
      </c>
      <c r="Q306" s="40">
        <v>2010</v>
      </c>
      <c r="R306" s="40" t="s">
        <v>106</v>
      </c>
      <c r="S306" s="40" t="s">
        <v>44</v>
      </c>
      <c r="T306" s="40" t="s">
        <v>147</v>
      </c>
      <c r="U306" s="40">
        <v>385</v>
      </c>
      <c r="V306" s="40"/>
      <c r="W306" s="40">
        <v>50</v>
      </c>
    </row>
    <row r="307" spans="1:23">
      <c r="A307" s="40">
        <v>2010</v>
      </c>
      <c r="B307" s="40" t="s">
        <v>106</v>
      </c>
      <c r="C307" s="40" t="s">
        <v>44</v>
      </c>
      <c r="D307" s="40" t="s">
        <v>147</v>
      </c>
      <c r="E307" s="40">
        <v>385</v>
      </c>
      <c r="F307" s="40"/>
      <c r="G307" s="40">
        <v>50</v>
      </c>
      <c r="Q307" s="39"/>
      <c r="R307" s="39"/>
      <c r="S307" s="39"/>
      <c r="T307" s="39"/>
      <c r="U307" s="39"/>
      <c r="V307" s="39"/>
      <c r="W307" s="39"/>
    </row>
    <row r="308" spans="1:23">
      <c r="A308" s="39"/>
      <c r="B308" s="39"/>
      <c r="C308" s="39"/>
      <c r="D308" s="39"/>
      <c r="E308" s="39"/>
      <c r="F308" s="39"/>
      <c r="G308" s="39"/>
      <c r="Q308" s="40">
        <v>2010</v>
      </c>
      <c r="R308" s="40" t="s">
        <v>107</v>
      </c>
      <c r="S308" s="40" t="s">
        <v>44</v>
      </c>
      <c r="T308" s="40" t="s">
        <v>130</v>
      </c>
      <c r="U308" s="40">
        <v>78609</v>
      </c>
      <c r="V308" s="40"/>
      <c r="W308" s="40">
        <v>10219</v>
      </c>
    </row>
    <row r="309" spans="1:23">
      <c r="A309" s="40">
        <v>2010</v>
      </c>
      <c r="B309" s="40" t="s">
        <v>107</v>
      </c>
      <c r="C309" s="40" t="s">
        <v>44</v>
      </c>
      <c r="D309" s="40" t="s">
        <v>130</v>
      </c>
      <c r="E309" s="40">
        <v>78609</v>
      </c>
      <c r="F309" s="40"/>
      <c r="G309" s="40">
        <v>10219</v>
      </c>
      <c r="Q309" s="39">
        <v>2010</v>
      </c>
      <c r="R309" s="39" t="s">
        <v>107</v>
      </c>
      <c r="S309" s="39" t="s">
        <v>44</v>
      </c>
      <c r="T309" s="39" t="s">
        <v>131</v>
      </c>
      <c r="U309" s="39">
        <v>58648</v>
      </c>
      <c r="V309" s="39"/>
      <c r="W309" s="39">
        <v>6451</v>
      </c>
    </row>
    <row r="310" spans="1:23">
      <c r="A310" s="39">
        <v>2010</v>
      </c>
      <c r="B310" s="39" t="s">
        <v>107</v>
      </c>
      <c r="C310" s="39" t="s">
        <v>44</v>
      </c>
      <c r="D310" s="39" t="s">
        <v>131</v>
      </c>
      <c r="E310" s="39">
        <v>58648</v>
      </c>
      <c r="F310" s="39"/>
      <c r="G310" s="39">
        <v>6451</v>
      </c>
      <c r="Q310" s="40">
        <v>2010</v>
      </c>
      <c r="R310" s="40" t="s">
        <v>107</v>
      </c>
      <c r="S310" s="40" t="s">
        <v>44</v>
      </c>
      <c r="T310" s="40" t="s">
        <v>132</v>
      </c>
      <c r="U310" s="40">
        <v>45211</v>
      </c>
      <c r="V310" s="40"/>
      <c r="W310" s="40">
        <v>4973</v>
      </c>
    </row>
    <row r="311" spans="1:23">
      <c r="A311" s="40">
        <v>2010</v>
      </c>
      <c r="B311" s="40" t="s">
        <v>107</v>
      </c>
      <c r="C311" s="40" t="s">
        <v>44</v>
      </c>
      <c r="D311" s="40" t="s">
        <v>132</v>
      </c>
      <c r="E311" s="40">
        <v>45211</v>
      </c>
      <c r="F311" s="40"/>
      <c r="G311" s="40">
        <v>4973</v>
      </c>
      <c r="Q311" s="39">
        <v>2010</v>
      </c>
      <c r="R311" s="39" t="s">
        <v>107</v>
      </c>
      <c r="S311" s="39" t="s">
        <v>44</v>
      </c>
      <c r="T311" s="39" t="s">
        <v>117</v>
      </c>
      <c r="U311" s="39">
        <v>36470</v>
      </c>
      <c r="V311" s="39"/>
      <c r="W311" s="39">
        <v>4011</v>
      </c>
    </row>
    <row r="312" spans="1:23">
      <c r="A312" s="39">
        <v>2010</v>
      </c>
      <c r="B312" s="39" t="s">
        <v>107</v>
      </c>
      <c r="C312" s="39" t="s">
        <v>44</v>
      </c>
      <c r="D312" s="39" t="s">
        <v>117</v>
      </c>
      <c r="E312" s="39">
        <v>36470</v>
      </c>
      <c r="F312" s="39"/>
      <c r="G312" s="39">
        <v>4011</v>
      </c>
      <c r="Q312" s="40">
        <v>2010</v>
      </c>
      <c r="R312" s="40" t="s">
        <v>107</v>
      </c>
      <c r="S312" s="40" t="s">
        <v>44</v>
      </c>
      <c r="T312" s="40" t="s">
        <v>133</v>
      </c>
      <c r="U312" s="40">
        <v>26281</v>
      </c>
      <c r="V312" s="40"/>
      <c r="W312" s="40">
        <v>2890</v>
      </c>
    </row>
    <row r="313" spans="1:23">
      <c r="A313" s="40">
        <v>2010</v>
      </c>
      <c r="B313" s="40" t="s">
        <v>107</v>
      </c>
      <c r="C313" s="40" t="s">
        <v>44</v>
      </c>
      <c r="D313" s="40" t="s">
        <v>133</v>
      </c>
      <c r="E313" s="40">
        <v>26281</v>
      </c>
      <c r="F313" s="40"/>
      <c r="G313" s="40">
        <v>2890</v>
      </c>
      <c r="Q313" s="39">
        <v>2010</v>
      </c>
      <c r="R313" s="39" t="s">
        <v>107</v>
      </c>
      <c r="S313" s="39" t="s">
        <v>44</v>
      </c>
      <c r="T313" s="39" t="s">
        <v>134</v>
      </c>
      <c r="U313" s="39">
        <v>24747</v>
      </c>
      <c r="V313" s="39"/>
      <c r="W313" s="39">
        <v>2722</v>
      </c>
    </row>
    <row r="314" spans="1:23">
      <c r="A314" s="39">
        <v>2010</v>
      </c>
      <c r="B314" s="39" t="s">
        <v>107</v>
      </c>
      <c r="C314" s="39" t="s">
        <v>44</v>
      </c>
      <c r="D314" s="39" t="s">
        <v>134</v>
      </c>
      <c r="E314" s="39">
        <v>24747</v>
      </c>
      <c r="F314" s="39"/>
      <c r="G314" s="39">
        <v>2722</v>
      </c>
      <c r="Q314" s="40">
        <v>2010</v>
      </c>
      <c r="R314" s="40" t="s">
        <v>107</v>
      </c>
      <c r="S314" s="40" t="s">
        <v>44</v>
      </c>
      <c r="T314" s="40" t="s">
        <v>135</v>
      </c>
      <c r="U314" s="40">
        <v>18273</v>
      </c>
      <c r="V314" s="40"/>
      <c r="W314" s="40">
        <v>2010</v>
      </c>
    </row>
    <row r="315" spans="1:23">
      <c r="A315" s="40">
        <v>2010</v>
      </c>
      <c r="B315" s="40" t="s">
        <v>107</v>
      </c>
      <c r="C315" s="40" t="s">
        <v>44</v>
      </c>
      <c r="D315" s="40" t="s">
        <v>135</v>
      </c>
      <c r="E315" s="40">
        <v>18273</v>
      </c>
      <c r="F315" s="40"/>
      <c r="G315" s="40">
        <v>2010</v>
      </c>
      <c r="Q315" s="39">
        <v>2010</v>
      </c>
      <c r="R315" s="39" t="s">
        <v>107</v>
      </c>
      <c r="S315" s="39" t="s">
        <v>44</v>
      </c>
      <c r="T315" s="39" t="s">
        <v>136</v>
      </c>
      <c r="U315" s="39">
        <v>16522</v>
      </c>
      <c r="V315" s="39"/>
      <c r="W315" s="39">
        <v>1817</v>
      </c>
    </row>
    <row r="316" spans="1:23">
      <c r="A316" s="39">
        <v>2010</v>
      </c>
      <c r="B316" s="39" t="s">
        <v>107</v>
      </c>
      <c r="C316" s="39" t="s">
        <v>44</v>
      </c>
      <c r="D316" s="39" t="s">
        <v>136</v>
      </c>
      <c r="E316" s="39">
        <v>16522</v>
      </c>
      <c r="F316" s="39"/>
      <c r="G316" s="39">
        <v>1817</v>
      </c>
      <c r="Q316" s="40">
        <v>2010</v>
      </c>
      <c r="R316" s="40" t="s">
        <v>107</v>
      </c>
      <c r="S316" s="40" t="s">
        <v>44</v>
      </c>
      <c r="T316" s="40" t="s">
        <v>137</v>
      </c>
      <c r="U316" s="40">
        <v>10885</v>
      </c>
      <c r="V316" s="40"/>
      <c r="W316" s="40">
        <v>1197</v>
      </c>
    </row>
    <row r="317" spans="1:23">
      <c r="A317" s="40">
        <v>2010</v>
      </c>
      <c r="B317" s="40" t="s">
        <v>107</v>
      </c>
      <c r="C317" s="40" t="s">
        <v>44</v>
      </c>
      <c r="D317" s="40" t="s">
        <v>137</v>
      </c>
      <c r="E317" s="40">
        <v>10885</v>
      </c>
      <c r="F317" s="40"/>
      <c r="G317" s="40">
        <v>1197</v>
      </c>
      <c r="Q317" s="39">
        <v>2010</v>
      </c>
      <c r="R317" s="39" t="s">
        <v>107</v>
      </c>
      <c r="S317" s="39" t="s">
        <v>44</v>
      </c>
      <c r="T317" s="39" t="s">
        <v>138</v>
      </c>
      <c r="U317" s="39">
        <v>9494</v>
      </c>
      <c r="V317" s="39"/>
      <c r="W317" s="39">
        <v>1044</v>
      </c>
    </row>
    <row r="318" spans="1:23">
      <c r="A318" s="39">
        <v>2010</v>
      </c>
      <c r="B318" s="39" t="s">
        <v>107</v>
      </c>
      <c r="C318" s="39" t="s">
        <v>44</v>
      </c>
      <c r="D318" s="39" t="s">
        <v>138</v>
      </c>
      <c r="E318" s="39">
        <v>9494</v>
      </c>
      <c r="F318" s="39"/>
      <c r="G318" s="39">
        <v>1044</v>
      </c>
      <c r="Q318" s="40">
        <v>2010</v>
      </c>
      <c r="R318" s="40" t="s">
        <v>107</v>
      </c>
      <c r="S318" s="40" t="s">
        <v>44</v>
      </c>
      <c r="T318" s="40" t="s">
        <v>139</v>
      </c>
      <c r="U318" s="40">
        <v>6194</v>
      </c>
      <c r="V318" s="40"/>
      <c r="W318" s="40">
        <v>681</v>
      </c>
    </row>
    <row r="319" spans="1:23">
      <c r="A319" s="40">
        <v>2010</v>
      </c>
      <c r="B319" s="40" t="s">
        <v>107</v>
      </c>
      <c r="C319" s="40" t="s">
        <v>44</v>
      </c>
      <c r="D319" s="40" t="s">
        <v>139</v>
      </c>
      <c r="E319" s="40">
        <v>6194</v>
      </c>
      <c r="F319" s="40"/>
      <c r="G319" s="40">
        <v>681</v>
      </c>
      <c r="Q319" s="39">
        <v>2010</v>
      </c>
      <c r="R319" s="39" t="s">
        <v>107</v>
      </c>
      <c r="S319" s="39" t="s">
        <v>44</v>
      </c>
      <c r="T319" s="39" t="s">
        <v>140</v>
      </c>
      <c r="U319" s="39">
        <v>4947</v>
      </c>
      <c r="V319" s="39"/>
      <c r="W319" s="39">
        <v>544</v>
      </c>
    </row>
    <row r="320" spans="1:23">
      <c r="A320" s="39">
        <v>2010</v>
      </c>
      <c r="B320" s="39" t="s">
        <v>107</v>
      </c>
      <c r="C320" s="39" t="s">
        <v>44</v>
      </c>
      <c r="D320" s="39" t="s">
        <v>140</v>
      </c>
      <c r="E320" s="39">
        <v>4947</v>
      </c>
      <c r="F320" s="39"/>
      <c r="G320" s="39">
        <v>544</v>
      </c>
      <c r="Q320" s="40">
        <v>2010</v>
      </c>
      <c r="R320" s="40" t="s">
        <v>107</v>
      </c>
      <c r="S320" s="40" t="s">
        <v>44</v>
      </c>
      <c r="T320" s="40" t="s">
        <v>141</v>
      </c>
      <c r="U320" s="40">
        <v>3934</v>
      </c>
      <c r="V320" s="40"/>
      <c r="W320" s="40">
        <v>432</v>
      </c>
    </row>
    <row r="321" spans="1:23">
      <c r="A321" s="40">
        <v>2010</v>
      </c>
      <c r="B321" s="40" t="s">
        <v>107</v>
      </c>
      <c r="C321" s="40" t="s">
        <v>44</v>
      </c>
      <c r="D321" s="40" t="s">
        <v>141</v>
      </c>
      <c r="E321" s="40">
        <v>3934</v>
      </c>
      <c r="F321" s="40"/>
      <c r="G321" s="40">
        <v>432</v>
      </c>
      <c r="Q321" s="39">
        <v>2010</v>
      </c>
      <c r="R321" s="39" t="s">
        <v>107</v>
      </c>
      <c r="S321" s="39" t="s">
        <v>44</v>
      </c>
      <c r="T321" s="39" t="s">
        <v>142</v>
      </c>
      <c r="U321" s="39">
        <v>3457</v>
      </c>
      <c r="V321" s="39"/>
      <c r="W321" s="39">
        <v>449</v>
      </c>
    </row>
    <row r="322" spans="1:23">
      <c r="A322" s="39">
        <v>2010</v>
      </c>
      <c r="B322" s="39" t="s">
        <v>107</v>
      </c>
      <c r="C322" s="39" t="s">
        <v>44</v>
      </c>
      <c r="D322" s="39" t="s">
        <v>142</v>
      </c>
      <c r="E322" s="39">
        <v>3457</v>
      </c>
      <c r="F322" s="39"/>
      <c r="G322" s="39">
        <v>449</v>
      </c>
      <c r="Q322" s="40">
        <v>2010</v>
      </c>
      <c r="R322" s="40" t="s">
        <v>107</v>
      </c>
      <c r="S322" s="40" t="s">
        <v>44</v>
      </c>
      <c r="T322" s="40" t="s">
        <v>143</v>
      </c>
      <c r="U322" s="40">
        <v>2578</v>
      </c>
      <c r="V322" s="40"/>
      <c r="W322" s="40">
        <v>335</v>
      </c>
    </row>
    <row r="323" spans="1:23">
      <c r="A323" s="40">
        <v>2010</v>
      </c>
      <c r="B323" s="40" t="s">
        <v>107</v>
      </c>
      <c r="C323" s="40" t="s">
        <v>44</v>
      </c>
      <c r="D323" s="40" t="s">
        <v>143</v>
      </c>
      <c r="E323" s="40">
        <v>2578</v>
      </c>
      <c r="F323" s="40"/>
      <c r="G323" s="40">
        <v>335</v>
      </c>
      <c r="Q323" s="39">
        <v>2010</v>
      </c>
      <c r="R323" s="39" t="s">
        <v>107</v>
      </c>
      <c r="S323" s="39" t="s">
        <v>44</v>
      </c>
      <c r="T323" s="39" t="s">
        <v>144</v>
      </c>
      <c r="U323" s="39">
        <v>835</v>
      </c>
      <c r="V323" s="39"/>
      <c r="W323" s="39">
        <v>108</v>
      </c>
    </row>
    <row r="324" spans="1:23">
      <c r="A324" s="39">
        <v>2010</v>
      </c>
      <c r="B324" s="39" t="s">
        <v>107</v>
      </c>
      <c r="C324" s="39" t="s">
        <v>44</v>
      </c>
      <c r="D324" s="39" t="s">
        <v>144</v>
      </c>
      <c r="E324" s="39">
        <v>835</v>
      </c>
      <c r="F324" s="39"/>
      <c r="G324" s="39">
        <v>108</v>
      </c>
      <c r="Q324" s="40">
        <v>2010</v>
      </c>
      <c r="R324" s="40" t="s">
        <v>107</v>
      </c>
      <c r="S324" s="40" t="s">
        <v>44</v>
      </c>
      <c r="T324" s="40" t="s">
        <v>145</v>
      </c>
      <c r="U324" s="40">
        <v>916</v>
      </c>
      <c r="V324" s="40"/>
      <c r="W324" s="40">
        <v>119</v>
      </c>
    </row>
    <row r="325" spans="1:23">
      <c r="A325" s="40">
        <v>2010</v>
      </c>
      <c r="B325" s="40" t="s">
        <v>107</v>
      </c>
      <c r="C325" s="40" t="s">
        <v>44</v>
      </c>
      <c r="D325" s="40" t="s">
        <v>145</v>
      </c>
      <c r="E325" s="40">
        <v>916</v>
      </c>
      <c r="F325" s="40"/>
      <c r="G325" s="40">
        <v>119</v>
      </c>
      <c r="Q325" s="39">
        <v>2010</v>
      </c>
      <c r="R325" s="39" t="s">
        <v>107</v>
      </c>
      <c r="S325" s="39" t="s">
        <v>44</v>
      </c>
      <c r="T325" s="39" t="s">
        <v>146</v>
      </c>
      <c r="U325" s="39">
        <v>497</v>
      </c>
      <c r="V325" s="39"/>
      <c r="W325" s="39">
        <v>64</v>
      </c>
    </row>
    <row r="326" spans="1:23">
      <c r="A326" s="39">
        <v>2010</v>
      </c>
      <c r="B326" s="39" t="s">
        <v>107</v>
      </c>
      <c r="C326" s="39" t="s">
        <v>44</v>
      </c>
      <c r="D326" s="39" t="s">
        <v>146</v>
      </c>
      <c r="E326" s="39">
        <v>497</v>
      </c>
      <c r="F326" s="39"/>
      <c r="G326" s="39">
        <v>64</v>
      </c>
      <c r="Q326" s="40">
        <v>2010</v>
      </c>
      <c r="R326" s="40" t="s">
        <v>107</v>
      </c>
      <c r="S326" s="40" t="s">
        <v>44</v>
      </c>
      <c r="T326" s="40" t="s">
        <v>147</v>
      </c>
      <c r="U326" s="40">
        <v>240</v>
      </c>
      <c r="V326" s="40"/>
      <c r="W326" s="40">
        <v>31</v>
      </c>
    </row>
    <row r="327" spans="1:23">
      <c r="A327" s="40">
        <v>2010</v>
      </c>
      <c r="B327" s="40" t="s">
        <v>107</v>
      </c>
      <c r="C327" s="40" t="s">
        <v>44</v>
      </c>
      <c r="D327" s="40" t="s">
        <v>147</v>
      </c>
      <c r="E327" s="40">
        <v>240</v>
      </c>
      <c r="F327" s="40"/>
      <c r="G327" s="40">
        <v>31</v>
      </c>
      <c r="Q327" s="39"/>
      <c r="R327" s="39"/>
      <c r="S327" s="39"/>
      <c r="T327" s="39"/>
      <c r="U327" s="39"/>
      <c r="V327" s="39"/>
      <c r="W327" s="39"/>
    </row>
    <row r="328" spans="1:23">
      <c r="A328" s="39"/>
      <c r="B328" s="39"/>
      <c r="C328" s="39"/>
      <c r="D328" s="39"/>
      <c r="E328" s="39"/>
      <c r="F328" s="39"/>
      <c r="G328" s="39"/>
      <c r="Q328" s="40">
        <v>2010</v>
      </c>
      <c r="R328" s="40" t="s">
        <v>109</v>
      </c>
      <c r="S328" s="40" t="s">
        <v>44</v>
      </c>
      <c r="T328" s="40" t="s">
        <v>130</v>
      </c>
      <c r="U328" s="40">
        <v>124514</v>
      </c>
      <c r="V328" s="40"/>
      <c r="W328" s="40">
        <v>16186</v>
      </c>
    </row>
    <row r="329" spans="1:23">
      <c r="A329" s="40">
        <v>2010</v>
      </c>
      <c r="B329" s="40" t="s">
        <v>109</v>
      </c>
      <c r="C329" s="40" t="s">
        <v>44</v>
      </c>
      <c r="D329" s="40" t="s">
        <v>130</v>
      </c>
      <c r="E329" s="40">
        <v>124514</v>
      </c>
      <c r="F329" s="40"/>
      <c r="G329" s="40">
        <v>16186</v>
      </c>
      <c r="Q329" s="39">
        <v>2010</v>
      </c>
      <c r="R329" s="39" t="s">
        <v>109</v>
      </c>
      <c r="S329" s="39" t="s">
        <v>44</v>
      </c>
      <c r="T329" s="39" t="s">
        <v>131</v>
      </c>
      <c r="U329" s="39">
        <v>90500</v>
      </c>
      <c r="V329" s="39"/>
      <c r="W329" s="39">
        <v>9955</v>
      </c>
    </row>
    <row r="330" spans="1:23">
      <c r="A330" s="39">
        <v>2010</v>
      </c>
      <c r="B330" s="39" t="s">
        <v>109</v>
      </c>
      <c r="C330" s="39" t="s">
        <v>44</v>
      </c>
      <c r="D330" s="39" t="s">
        <v>131</v>
      </c>
      <c r="E330" s="39">
        <v>90500</v>
      </c>
      <c r="F330" s="39"/>
      <c r="G330" s="39">
        <v>9955</v>
      </c>
      <c r="Q330" s="40">
        <v>2010</v>
      </c>
      <c r="R330" s="40" t="s">
        <v>109</v>
      </c>
      <c r="S330" s="40" t="s">
        <v>44</v>
      </c>
      <c r="T330" s="40" t="s">
        <v>132</v>
      </c>
      <c r="U330" s="40">
        <v>68249</v>
      </c>
      <c r="V330" s="40"/>
      <c r="W330" s="40">
        <v>7507</v>
      </c>
    </row>
    <row r="331" spans="1:23">
      <c r="A331" s="40">
        <v>2010</v>
      </c>
      <c r="B331" s="40" t="s">
        <v>109</v>
      </c>
      <c r="C331" s="40" t="s">
        <v>44</v>
      </c>
      <c r="D331" s="40" t="s">
        <v>132</v>
      </c>
      <c r="E331" s="40">
        <v>68249</v>
      </c>
      <c r="F331" s="40"/>
      <c r="G331" s="40">
        <v>7507</v>
      </c>
      <c r="Q331" s="39">
        <v>2010</v>
      </c>
      <c r="R331" s="39" t="s">
        <v>109</v>
      </c>
      <c r="S331" s="39" t="s">
        <v>44</v>
      </c>
      <c r="T331" s="39" t="s">
        <v>117</v>
      </c>
      <c r="U331" s="39">
        <v>56615</v>
      </c>
      <c r="V331" s="39"/>
      <c r="W331" s="39">
        <v>6227</v>
      </c>
    </row>
    <row r="332" spans="1:23">
      <c r="A332" s="39">
        <v>2010</v>
      </c>
      <c r="B332" s="39" t="s">
        <v>109</v>
      </c>
      <c r="C332" s="39" t="s">
        <v>44</v>
      </c>
      <c r="D332" s="39" t="s">
        <v>117</v>
      </c>
      <c r="E332" s="39">
        <v>56615</v>
      </c>
      <c r="F332" s="39"/>
      <c r="G332" s="39">
        <v>6227</v>
      </c>
      <c r="Q332" s="40">
        <v>2010</v>
      </c>
      <c r="R332" s="40" t="s">
        <v>109</v>
      </c>
      <c r="S332" s="40" t="s">
        <v>44</v>
      </c>
      <c r="T332" s="40" t="s">
        <v>133</v>
      </c>
      <c r="U332" s="40">
        <v>40196</v>
      </c>
      <c r="V332" s="40"/>
      <c r="W332" s="40">
        <v>4421</v>
      </c>
    </row>
    <row r="333" spans="1:23">
      <c r="A333" s="40">
        <v>2010</v>
      </c>
      <c r="B333" s="40" t="s">
        <v>109</v>
      </c>
      <c r="C333" s="40" t="s">
        <v>44</v>
      </c>
      <c r="D333" s="40" t="s">
        <v>133</v>
      </c>
      <c r="E333" s="40">
        <v>40196</v>
      </c>
      <c r="F333" s="40"/>
      <c r="G333" s="40">
        <v>4421</v>
      </c>
      <c r="Q333" s="39">
        <v>2010</v>
      </c>
      <c r="R333" s="39" t="s">
        <v>109</v>
      </c>
      <c r="S333" s="39" t="s">
        <v>44</v>
      </c>
      <c r="T333" s="39" t="s">
        <v>134</v>
      </c>
      <c r="U333" s="39">
        <v>38865</v>
      </c>
      <c r="V333" s="39"/>
      <c r="W333" s="39">
        <v>4275</v>
      </c>
    </row>
    <row r="334" spans="1:23">
      <c r="A334" s="39">
        <v>2010</v>
      </c>
      <c r="B334" s="39" t="s">
        <v>109</v>
      </c>
      <c r="C334" s="39" t="s">
        <v>44</v>
      </c>
      <c r="D334" s="39" t="s">
        <v>134</v>
      </c>
      <c r="E334" s="39">
        <v>38865</v>
      </c>
      <c r="F334" s="39"/>
      <c r="G334" s="39">
        <v>4275</v>
      </c>
      <c r="Q334" s="40">
        <v>2010</v>
      </c>
      <c r="R334" s="40" t="s">
        <v>109</v>
      </c>
      <c r="S334" s="40" t="s">
        <v>44</v>
      </c>
      <c r="T334" s="40" t="s">
        <v>135</v>
      </c>
      <c r="U334" s="40">
        <v>28496</v>
      </c>
      <c r="V334" s="40"/>
      <c r="W334" s="40">
        <v>3134</v>
      </c>
    </row>
    <row r="335" spans="1:23">
      <c r="A335" s="40">
        <v>2010</v>
      </c>
      <c r="B335" s="40" t="s">
        <v>109</v>
      </c>
      <c r="C335" s="40" t="s">
        <v>44</v>
      </c>
      <c r="D335" s="40" t="s">
        <v>135</v>
      </c>
      <c r="E335" s="40">
        <v>28496</v>
      </c>
      <c r="F335" s="40"/>
      <c r="G335" s="40">
        <v>3134</v>
      </c>
      <c r="Q335" s="39">
        <v>2010</v>
      </c>
      <c r="R335" s="39" t="s">
        <v>109</v>
      </c>
      <c r="S335" s="39" t="s">
        <v>44</v>
      </c>
      <c r="T335" s="39" t="s">
        <v>136</v>
      </c>
      <c r="U335" s="39">
        <v>26338</v>
      </c>
      <c r="V335" s="39"/>
      <c r="W335" s="39">
        <v>2897</v>
      </c>
    </row>
    <row r="336" spans="1:23">
      <c r="A336" s="39">
        <v>2010</v>
      </c>
      <c r="B336" s="39" t="s">
        <v>109</v>
      </c>
      <c r="C336" s="39" t="s">
        <v>44</v>
      </c>
      <c r="D336" s="39" t="s">
        <v>136</v>
      </c>
      <c r="E336" s="39">
        <v>26338</v>
      </c>
      <c r="F336" s="39"/>
      <c r="G336" s="39">
        <v>2897</v>
      </c>
      <c r="Q336" s="40">
        <v>2010</v>
      </c>
      <c r="R336" s="40" t="s">
        <v>109</v>
      </c>
      <c r="S336" s="40" t="s">
        <v>44</v>
      </c>
      <c r="T336" s="40" t="s">
        <v>137</v>
      </c>
      <c r="U336" s="40">
        <v>17758</v>
      </c>
      <c r="V336" s="40"/>
      <c r="W336" s="40">
        <v>1953</v>
      </c>
    </row>
    <row r="337" spans="1:23">
      <c r="A337" s="40">
        <v>2010</v>
      </c>
      <c r="B337" s="40" t="s">
        <v>109</v>
      </c>
      <c r="C337" s="40" t="s">
        <v>44</v>
      </c>
      <c r="D337" s="40" t="s">
        <v>137</v>
      </c>
      <c r="E337" s="40">
        <v>17758</v>
      </c>
      <c r="F337" s="40"/>
      <c r="G337" s="40">
        <v>1953</v>
      </c>
      <c r="Q337" s="39">
        <v>2010</v>
      </c>
      <c r="R337" s="39" t="s">
        <v>109</v>
      </c>
      <c r="S337" s="39" t="s">
        <v>44</v>
      </c>
      <c r="T337" s="39" t="s">
        <v>138</v>
      </c>
      <c r="U337" s="39">
        <v>15971</v>
      </c>
      <c r="V337" s="39"/>
      <c r="W337" s="39">
        <v>1756</v>
      </c>
    </row>
    <row r="338" spans="1:23">
      <c r="A338" s="39">
        <v>2010</v>
      </c>
      <c r="B338" s="39" t="s">
        <v>109</v>
      </c>
      <c r="C338" s="39" t="s">
        <v>44</v>
      </c>
      <c r="D338" s="39" t="s">
        <v>138</v>
      </c>
      <c r="E338" s="39">
        <v>15971</v>
      </c>
      <c r="F338" s="39"/>
      <c r="G338" s="39">
        <v>1756</v>
      </c>
      <c r="Q338" s="40">
        <v>2010</v>
      </c>
      <c r="R338" s="40" t="s">
        <v>109</v>
      </c>
      <c r="S338" s="40" t="s">
        <v>44</v>
      </c>
      <c r="T338" s="40" t="s">
        <v>139</v>
      </c>
      <c r="U338" s="40">
        <v>10403</v>
      </c>
      <c r="V338" s="40"/>
      <c r="W338" s="40">
        <v>1144</v>
      </c>
    </row>
    <row r="339" spans="1:23">
      <c r="A339" s="40">
        <v>2010</v>
      </c>
      <c r="B339" s="40" t="s">
        <v>109</v>
      </c>
      <c r="C339" s="40" t="s">
        <v>44</v>
      </c>
      <c r="D339" s="40" t="s">
        <v>139</v>
      </c>
      <c r="E339" s="40">
        <v>10403</v>
      </c>
      <c r="F339" s="40"/>
      <c r="G339" s="40">
        <v>1144</v>
      </c>
      <c r="Q339" s="39">
        <v>2010</v>
      </c>
      <c r="R339" s="39" t="s">
        <v>109</v>
      </c>
      <c r="S339" s="39" t="s">
        <v>44</v>
      </c>
      <c r="T339" s="39" t="s">
        <v>140</v>
      </c>
      <c r="U339" s="39">
        <v>8286</v>
      </c>
      <c r="V339" s="39"/>
      <c r="W339" s="39">
        <v>911</v>
      </c>
    </row>
    <row r="340" spans="1:23">
      <c r="A340" s="39">
        <v>2010</v>
      </c>
      <c r="B340" s="39" t="s">
        <v>109</v>
      </c>
      <c r="C340" s="39" t="s">
        <v>44</v>
      </c>
      <c r="D340" s="39" t="s">
        <v>140</v>
      </c>
      <c r="E340" s="39">
        <v>8286</v>
      </c>
      <c r="F340" s="39"/>
      <c r="G340" s="39">
        <v>911</v>
      </c>
      <c r="Q340" s="40">
        <v>2010</v>
      </c>
      <c r="R340" s="40" t="s">
        <v>109</v>
      </c>
      <c r="S340" s="40" t="s">
        <v>44</v>
      </c>
      <c r="T340" s="40" t="s">
        <v>141</v>
      </c>
      <c r="U340" s="40">
        <v>6120</v>
      </c>
      <c r="V340" s="40"/>
      <c r="W340" s="40">
        <v>673</v>
      </c>
    </row>
    <row r="341" spans="1:23">
      <c r="A341" s="40">
        <v>2010</v>
      </c>
      <c r="B341" s="40" t="s">
        <v>109</v>
      </c>
      <c r="C341" s="40" t="s">
        <v>44</v>
      </c>
      <c r="D341" s="40" t="s">
        <v>141</v>
      </c>
      <c r="E341" s="40">
        <v>6120</v>
      </c>
      <c r="F341" s="40"/>
      <c r="G341" s="40">
        <v>673</v>
      </c>
      <c r="Q341" s="39">
        <v>2010</v>
      </c>
      <c r="R341" s="39" t="s">
        <v>109</v>
      </c>
      <c r="S341" s="39" t="s">
        <v>44</v>
      </c>
      <c r="T341" s="39" t="s">
        <v>142</v>
      </c>
      <c r="U341" s="39">
        <v>5378</v>
      </c>
      <c r="V341" s="39"/>
      <c r="W341" s="39">
        <v>699</v>
      </c>
    </row>
    <row r="342" spans="1:23">
      <c r="A342" s="39">
        <v>2010</v>
      </c>
      <c r="B342" s="39" t="s">
        <v>109</v>
      </c>
      <c r="C342" s="39" t="s">
        <v>44</v>
      </c>
      <c r="D342" s="39" t="s">
        <v>142</v>
      </c>
      <c r="E342" s="39">
        <v>5378</v>
      </c>
      <c r="F342" s="39"/>
      <c r="G342" s="39">
        <v>699</v>
      </c>
      <c r="Q342" s="40">
        <v>2010</v>
      </c>
      <c r="R342" s="40" t="s">
        <v>109</v>
      </c>
      <c r="S342" s="40" t="s">
        <v>44</v>
      </c>
      <c r="T342" s="40" t="s">
        <v>143</v>
      </c>
      <c r="U342" s="40">
        <v>3751</v>
      </c>
      <c r="V342" s="40"/>
      <c r="W342" s="40">
        <v>487</v>
      </c>
    </row>
    <row r="343" spans="1:23">
      <c r="A343" s="40">
        <v>2010</v>
      </c>
      <c r="B343" s="40" t="s">
        <v>109</v>
      </c>
      <c r="C343" s="40" t="s">
        <v>44</v>
      </c>
      <c r="D343" s="40" t="s">
        <v>143</v>
      </c>
      <c r="E343" s="40">
        <v>3751</v>
      </c>
      <c r="F343" s="40"/>
      <c r="G343" s="40">
        <v>487</v>
      </c>
      <c r="Q343" s="39">
        <v>2010</v>
      </c>
      <c r="R343" s="39" t="s">
        <v>109</v>
      </c>
      <c r="S343" s="39" t="s">
        <v>44</v>
      </c>
      <c r="T343" s="39" t="s">
        <v>144</v>
      </c>
      <c r="U343" s="39">
        <v>1187</v>
      </c>
      <c r="V343" s="39"/>
      <c r="W343" s="39">
        <v>154</v>
      </c>
    </row>
    <row r="344" spans="1:23">
      <c r="A344" s="39">
        <v>2010</v>
      </c>
      <c r="B344" s="39" t="s">
        <v>109</v>
      </c>
      <c r="C344" s="39" t="s">
        <v>44</v>
      </c>
      <c r="D344" s="39" t="s">
        <v>144</v>
      </c>
      <c r="E344" s="39">
        <v>1187</v>
      </c>
      <c r="F344" s="39"/>
      <c r="G344" s="39">
        <v>154</v>
      </c>
      <c r="Q344" s="40">
        <v>2010</v>
      </c>
      <c r="R344" s="40" t="s">
        <v>109</v>
      </c>
      <c r="S344" s="40" t="s">
        <v>44</v>
      </c>
      <c r="T344" s="40" t="s">
        <v>145</v>
      </c>
      <c r="U344" s="40">
        <v>1289</v>
      </c>
      <c r="V344" s="40"/>
      <c r="W344" s="40">
        <v>167</v>
      </c>
    </row>
    <row r="345" spans="1:23">
      <c r="A345" s="40">
        <v>2010</v>
      </c>
      <c r="B345" s="40" t="s">
        <v>109</v>
      </c>
      <c r="C345" s="40" t="s">
        <v>44</v>
      </c>
      <c r="D345" s="40" t="s">
        <v>145</v>
      </c>
      <c r="E345" s="40">
        <v>1289</v>
      </c>
      <c r="F345" s="40"/>
      <c r="G345" s="40">
        <v>167</v>
      </c>
      <c r="Q345" s="39">
        <v>2010</v>
      </c>
      <c r="R345" s="39" t="s">
        <v>109</v>
      </c>
      <c r="S345" s="39" t="s">
        <v>44</v>
      </c>
      <c r="T345" s="39" t="s">
        <v>146</v>
      </c>
      <c r="U345" s="39">
        <v>779</v>
      </c>
      <c r="V345" s="39"/>
      <c r="W345" s="39">
        <v>101</v>
      </c>
    </row>
    <row r="346" spans="1:23">
      <c r="A346" s="39">
        <v>2010</v>
      </c>
      <c r="B346" s="39" t="s">
        <v>109</v>
      </c>
      <c r="C346" s="39" t="s">
        <v>44</v>
      </c>
      <c r="D346" s="39" t="s">
        <v>146</v>
      </c>
      <c r="E346" s="39">
        <v>779</v>
      </c>
      <c r="F346" s="39"/>
      <c r="G346" s="39">
        <v>101</v>
      </c>
      <c r="Q346" s="40">
        <v>2010</v>
      </c>
      <c r="R346" s="40" t="s">
        <v>109</v>
      </c>
      <c r="S346" s="40" t="s">
        <v>44</v>
      </c>
      <c r="T346" s="40" t="s">
        <v>147</v>
      </c>
      <c r="U346" s="40">
        <v>321</v>
      </c>
      <c r="V346" s="40"/>
      <c r="W346" s="40">
        <v>41</v>
      </c>
    </row>
    <row r="347" spans="1:23">
      <c r="A347" s="40">
        <v>2010</v>
      </c>
      <c r="B347" s="40" t="s">
        <v>109</v>
      </c>
      <c r="C347" s="40" t="s">
        <v>44</v>
      </c>
      <c r="D347" s="40" t="s">
        <v>147</v>
      </c>
      <c r="E347" s="40">
        <v>321</v>
      </c>
      <c r="F347" s="40"/>
      <c r="G347" s="40">
        <v>41</v>
      </c>
      <c r="Q347" s="39"/>
      <c r="R347" s="39"/>
      <c r="S347" s="39"/>
      <c r="T347" s="39"/>
      <c r="U347" s="39"/>
      <c r="V347" s="39"/>
      <c r="W347" s="39"/>
    </row>
    <row r="348" spans="1:23">
      <c r="A348" s="39"/>
      <c r="B348" s="39"/>
      <c r="C348" s="39"/>
      <c r="D348" s="39"/>
      <c r="E348" s="39"/>
      <c r="F348" s="39"/>
      <c r="G348" s="39"/>
      <c r="Q348" s="40">
        <v>2010</v>
      </c>
      <c r="R348" s="40" t="s">
        <v>108</v>
      </c>
      <c r="S348" s="40" t="s">
        <v>44</v>
      </c>
      <c r="T348" s="40" t="s">
        <v>130</v>
      </c>
      <c r="U348" s="40">
        <v>81196</v>
      </c>
      <c r="V348" s="40"/>
      <c r="W348" s="40">
        <v>10555</v>
      </c>
    </row>
    <row r="349" spans="1:23">
      <c r="A349" s="40">
        <v>2010</v>
      </c>
      <c r="B349" s="40" t="s">
        <v>108</v>
      </c>
      <c r="C349" s="40" t="s">
        <v>44</v>
      </c>
      <c r="D349" s="40" t="s">
        <v>130</v>
      </c>
      <c r="E349" s="40">
        <v>81196</v>
      </c>
      <c r="F349" s="40"/>
      <c r="G349" s="40">
        <v>10555</v>
      </c>
      <c r="Q349" s="39">
        <v>2010</v>
      </c>
      <c r="R349" s="39" t="s">
        <v>108</v>
      </c>
      <c r="S349" s="39" t="s">
        <v>44</v>
      </c>
      <c r="T349" s="39" t="s">
        <v>131</v>
      </c>
      <c r="U349" s="39">
        <v>58727</v>
      </c>
      <c r="V349" s="39"/>
      <c r="W349" s="39">
        <v>6459</v>
      </c>
    </row>
    <row r="350" spans="1:23">
      <c r="A350" s="39">
        <v>2010</v>
      </c>
      <c r="B350" s="39" t="s">
        <v>108</v>
      </c>
      <c r="C350" s="39" t="s">
        <v>44</v>
      </c>
      <c r="D350" s="39" t="s">
        <v>131</v>
      </c>
      <c r="E350" s="39">
        <v>58727</v>
      </c>
      <c r="F350" s="39"/>
      <c r="G350" s="39">
        <v>6459</v>
      </c>
      <c r="Q350" s="40">
        <v>2010</v>
      </c>
      <c r="R350" s="40" t="s">
        <v>108</v>
      </c>
      <c r="S350" s="40" t="s">
        <v>44</v>
      </c>
      <c r="T350" s="40" t="s">
        <v>132</v>
      </c>
      <c r="U350" s="40">
        <v>46112</v>
      </c>
      <c r="V350" s="40"/>
      <c r="W350" s="40">
        <v>5072</v>
      </c>
    </row>
    <row r="351" spans="1:23">
      <c r="A351" s="40">
        <v>2010</v>
      </c>
      <c r="B351" s="40" t="s">
        <v>108</v>
      </c>
      <c r="C351" s="40" t="s">
        <v>44</v>
      </c>
      <c r="D351" s="40" t="s">
        <v>132</v>
      </c>
      <c r="E351" s="40">
        <v>46112</v>
      </c>
      <c r="F351" s="40"/>
      <c r="G351" s="40">
        <v>5072</v>
      </c>
      <c r="Q351" s="39">
        <v>2010</v>
      </c>
      <c r="R351" s="39" t="s">
        <v>108</v>
      </c>
      <c r="S351" s="39" t="s">
        <v>44</v>
      </c>
      <c r="T351" s="39" t="s">
        <v>117</v>
      </c>
      <c r="U351" s="39">
        <v>39112</v>
      </c>
      <c r="V351" s="39"/>
      <c r="W351" s="39">
        <v>4302</v>
      </c>
    </row>
    <row r="352" spans="1:23">
      <c r="A352" s="39">
        <v>2010</v>
      </c>
      <c r="B352" s="39" t="s">
        <v>108</v>
      </c>
      <c r="C352" s="39" t="s">
        <v>44</v>
      </c>
      <c r="D352" s="39" t="s">
        <v>117</v>
      </c>
      <c r="E352" s="39">
        <v>39112</v>
      </c>
      <c r="F352" s="39"/>
      <c r="G352" s="39">
        <v>4302</v>
      </c>
      <c r="Q352" s="40">
        <v>2010</v>
      </c>
      <c r="R352" s="40" t="s">
        <v>108</v>
      </c>
      <c r="S352" s="40" t="s">
        <v>44</v>
      </c>
      <c r="T352" s="40" t="s">
        <v>133</v>
      </c>
      <c r="U352" s="40">
        <v>27311</v>
      </c>
      <c r="V352" s="40"/>
      <c r="W352" s="40">
        <v>3004</v>
      </c>
    </row>
    <row r="353" spans="1:23">
      <c r="A353" s="40">
        <v>2010</v>
      </c>
      <c r="B353" s="40" t="s">
        <v>108</v>
      </c>
      <c r="C353" s="40" t="s">
        <v>44</v>
      </c>
      <c r="D353" s="40" t="s">
        <v>133</v>
      </c>
      <c r="E353" s="40">
        <v>27311</v>
      </c>
      <c r="F353" s="40"/>
      <c r="G353" s="40">
        <v>3004</v>
      </c>
      <c r="Q353" s="39">
        <v>2010</v>
      </c>
      <c r="R353" s="39" t="s">
        <v>108</v>
      </c>
      <c r="S353" s="39" t="s">
        <v>44</v>
      </c>
      <c r="T353" s="39" t="s">
        <v>134</v>
      </c>
      <c r="U353" s="39">
        <v>25327</v>
      </c>
      <c r="V353" s="39"/>
      <c r="W353" s="39">
        <v>2785</v>
      </c>
    </row>
    <row r="354" spans="1:23">
      <c r="A354" s="39">
        <v>2010</v>
      </c>
      <c r="B354" s="39" t="s">
        <v>108</v>
      </c>
      <c r="C354" s="39" t="s">
        <v>44</v>
      </c>
      <c r="D354" s="39" t="s">
        <v>134</v>
      </c>
      <c r="E354" s="39">
        <v>25327</v>
      </c>
      <c r="F354" s="39"/>
      <c r="G354" s="39">
        <v>2785</v>
      </c>
      <c r="Q354" s="40">
        <v>2010</v>
      </c>
      <c r="R354" s="40" t="s">
        <v>108</v>
      </c>
      <c r="S354" s="40" t="s">
        <v>44</v>
      </c>
      <c r="T354" s="40" t="s">
        <v>135</v>
      </c>
      <c r="U354" s="40">
        <v>19248</v>
      </c>
      <c r="V354" s="40"/>
      <c r="W354" s="40">
        <v>2117</v>
      </c>
    </row>
    <row r="355" spans="1:23">
      <c r="A355" s="40">
        <v>2010</v>
      </c>
      <c r="B355" s="40" t="s">
        <v>108</v>
      </c>
      <c r="C355" s="40" t="s">
        <v>44</v>
      </c>
      <c r="D355" s="40" t="s">
        <v>135</v>
      </c>
      <c r="E355" s="40">
        <v>19248</v>
      </c>
      <c r="F355" s="40"/>
      <c r="G355" s="40">
        <v>2117</v>
      </c>
      <c r="Q355" s="39">
        <v>2010</v>
      </c>
      <c r="R355" s="39" t="s">
        <v>108</v>
      </c>
      <c r="S355" s="39" t="s">
        <v>44</v>
      </c>
      <c r="T355" s="39" t="s">
        <v>136</v>
      </c>
      <c r="U355" s="39">
        <v>16422</v>
      </c>
      <c r="V355" s="39"/>
      <c r="W355" s="39">
        <v>1806</v>
      </c>
    </row>
    <row r="356" spans="1:23">
      <c r="A356" s="39">
        <v>2010</v>
      </c>
      <c r="B356" s="39" t="s">
        <v>108</v>
      </c>
      <c r="C356" s="39" t="s">
        <v>44</v>
      </c>
      <c r="D356" s="39" t="s">
        <v>136</v>
      </c>
      <c r="E356" s="39">
        <v>16422</v>
      </c>
      <c r="F356" s="39"/>
      <c r="G356" s="39">
        <v>1806</v>
      </c>
      <c r="Q356" s="40">
        <v>2010</v>
      </c>
      <c r="R356" s="40" t="s">
        <v>108</v>
      </c>
      <c r="S356" s="40" t="s">
        <v>44</v>
      </c>
      <c r="T356" s="40" t="s">
        <v>137</v>
      </c>
      <c r="U356" s="40">
        <v>10857</v>
      </c>
      <c r="V356" s="40"/>
      <c r="W356" s="40">
        <v>1194</v>
      </c>
    </row>
    <row r="357" spans="1:23">
      <c r="A357" s="40">
        <v>2010</v>
      </c>
      <c r="B357" s="40" t="s">
        <v>108</v>
      </c>
      <c r="C357" s="40" t="s">
        <v>44</v>
      </c>
      <c r="D357" s="40" t="s">
        <v>137</v>
      </c>
      <c r="E357" s="40">
        <v>10857</v>
      </c>
      <c r="F357" s="40"/>
      <c r="G357" s="40">
        <v>1194</v>
      </c>
      <c r="Q357" s="39">
        <v>2010</v>
      </c>
      <c r="R357" s="39" t="s">
        <v>108</v>
      </c>
      <c r="S357" s="39" t="s">
        <v>44</v>
      </c>
      <c r="T357" s="39" t="s">
        <v>138</v>
      </c>
      <c r="U357" s="39">
        <v>9503</v>
      </c>
      <c r="V357" s="39"/>
      <c r="W357" s="39">
        <v>1045</v>
      </c>
    </row>
    <row r="358" spans="1:23">
      <c r="A358" s="39">
        <v>2010</v>
      </c>
      <c r="B358" s="39" t="s">
        <v>108</v>
      </c>
      <c r="C358" s="39" t="s">
        <v>44</v>
      </c>
      <c r="D358" s="39" t="s">
        <v>138</v>
      </c>
      <c r="E358" s="39">
        <v>9503</v>
      </c>
      <c r="F358" s="39"/>
      <c r="G358" s="39">
        <v>1045</v>
      </c>
      <c r="Q358" s="40">
        <v>2010</v>
      </c>
      <c r="R358" s="40" t="s">
        <v>108</v>
      </c>
      <c r="S358" s="40" t="s">
        <v>44</v>
      </c>
      <c r="T358" s="40" t="s">
        <v>139</v>
      </c>
      <c r="U358" s="40">
        <v>6152</v>
      </c>
      <c r="V358" s="40"/>
      <c r="W358" s="40">
        <v>676</v>
      </c>
    </row>
    <row r="359" spans="1:23">
      <c r="A359" s="40">
        <v>2010</v>
      </c>
      <c r="B359" s="40" t="s">
        <v>108</v>
      </c>
      <c r="C359" s="40" t="s">
        <v>44</v>
      </c>
      <c r="D359" s="40" t="s">
        <v>139</v>
      </c>
      <c r="E359" s="40">
        <v>6152</v>
      </c>
      <c r="F359" s="40"/>
      <c r="G359" s="40">
        <v>676</v>
      </c>
      <c r="Q359" s="39">
        <v>2010</v>
      </c>
      <c r="R359" s="39" t="s">
        <v>108</v>
      </c>
      <c r="S359" s="39" t="s">
        <v>44</v>
      </c>
      <c r="T359" s="39" t="s">
        <v>140</v>
      </c>
      <c r="U359" s="39">
        <v>4973</v>
      </c>
      <c r="V359" s="39"/>
      <c r="W359" s="39">
        <v>547</v>
      </c>
    </row>
    <row r="360" spans="1:23">
      <c r="A360" s="39">
        <v>2010</v>
      </c>
      <c r="B360" s="39" t="s">
        <v>108</v>
      </c>
      <c r="C360" s="39" t="s">
        <v>44</v>
      </c>
      <c r="D360" s="39" t="s">
        <v>140</v>
      </c>
      <c r="E360" s="39">
        <v>4973</v>
      </c>
      <c r="F360" s="39"/>
      <c r="G360" s="39">
        <v>547</v>
      </c>
      <c r="Q360" s="40">
        <v>2010</v>
      </c>
      <c r="R360" s="40" t="s">
        <v>108</v>
      </c>
      <c r="S360" s="40" t="s">
        <v>44</v>
      </c>
      <c r="T360" s="40" t="s">
        <v>141</v>
      </c>
      <c r="U360" s="40">
        <v>3685</v>
      </c>
      <c r="V360" s="40"/>
      <c r="W360" s="40">
        <v>405</v>
      </c>
    </row>
    <row r="361" spans="1:23">
      <c r="A361" s="40">
        <v>2010</v>
      </c>
      <c r="B361" s="40" t="s">
        <v>108</v>
      </c>
      <c r="C361" s="40" t="s">
        <v>44</v>
      </c>
      <c r="D361" s="40" t="s">
        <v>141</v>
      </c>
      <c r="E361" s="40">
        <v>3685</v>
      </c>
      <c r="F361" s="40"/>
      <c r="G361" s="40">
        <v>405</v>
      </c>
      <c r="Q361" s="39">
        <v>2010</v>
      </c>
      <c r="R361" s="39" t="s">
        <v>108</v>
      </c>
      <c r="S361" s="39" t="s">
        <v>44</v>
      </c>
      <c r="T361" s="39" t="s">
        <v>142</v>
      </c>
      <c r="U361" s="39">
        <v>3224</v>
      </c>
      <c r="V361" s="39"/>
      <c r="W361" s="39">
        <v>419</v>
      </c>
    </row>
    <row r="362" spans="1:23">
      <c r="A362" s="39">
        <v>2010</v>
      </c>
      <c r="B362" s="39" t="s">
        <v>108</v>
      </c>
      <c r="C362" s="39" t="s">
        <v>44</v>
      </c>
      <c r="D362" s="39" t="s">
        <v>142</v>
      </c>
      <c r="E362" s="39">
        <v>3224</v>
      </c>
      <c r="F362" s="39"/>
      <c r="G362" s="39">
        <v>419</v>
      </c>
      <c r="Q362" s="40">
        <v>2010</v>
      </c>
      <c r="R362" s="40" t="s">
        <v>108</v>
      </c>
      <c r="S362" s="40" t="s">
        <v>44</v>
      </c>
      <c r="T362" s="40" t="s">
        <v>143</v>
      </c>
      <c r="U362" s="40">
        <v>2327</v>
      </c>
      <c r="V362" s="40"/>
      <c r="W362" s="40">
        <v>302</v>
      </c>
    </row>
    <row r="363" spans="1:23">
      <c r="A363" s="40">
        <v>2010</v>
      </c>
      <c r="B363" s="40" t="s">
        <v>108</v>
      </c>
      <c r="C363" s="40" t="s">
        <v>44</v>
      </c>
      <c r="D363" s="40" t="s">
        <v>143</v>
      </c>
      <c r="E363" s="40">
        <v>2327</v>
      </c>
      <c r="F363" s="40"/>
      <c r="G363" s="40">
        <v>302</v>
      </c>
      <c r="Q363" s="39">
        <v>2010</v>
      </c>
      <c r="R363" s="39" t="s">
        <v>108</v>
      </c>
      <c r="S363" s="39" t="s">
        <v>44</v>
      </c>
      <c r="T363" s="39" t="s">
        <v>144</v>
      </c>
      <c r="U363" s="39">
        <v>804</v>
      </c>
      <c r="V363" s="39"/>
      <c r="W363" s="39">
        <v>104</v>
      </c>
    </row>
    <row r="364" spans="1:23">
      <c r="A364" s="39">
        <v>2010</v>
      </c>
      <c r="B364" s="39" t="s">
        <v>108</v>
      </c>
      <c r="C364" s="39" t="s">
        <v>44</v>
      </c>
      <c r="D364" s="39" t="s">
        <v>144</v>
      </c>
      <c r="E364" s="39">
        <v>804</v>
      </c>
      <c r="F364" s="39"/>
      <c r="G364" s="39">
        <v>104</v>
      </c>
      <c r="Q364" s="40">
        <v>2010</v>
      </c>
      <c r="R364" s="40" t="s">
        <v>108</v>
      </c>
      <c r="S364" s="40" t="s">
        <v>44</v>
      </c>
      <c r="T364" s="40" t="s">
        <v>145</v>
      </c>
      <c r="U364" s="40">
        <v>879</v>
      </c>
      <c r="V364" s="40"/>
      <c r="W364" s="40">
        <v>114</v>
      </c>
    </row>
    <row r="365" spans="1:23">
      <c r="A365" s="40">
        <v>2010</v>
      </c>
      <c r="B365" s="40" t="s">
        <v>108</v>
      </c>
      <c r="C365" s="40" t="s">
        <v>44</v>
      </c>
      <c r="D365" s="40" t="s">
        <v>145</v>
      </c>
      <c r="E365" s="40">
        <v>879</v>
      </c>
      <c r="F365" s="40"/>
      <c r="G365" s="40">
        <v>114</v>
      </c>
      <c r="Q365" s="39">
        <v>2010</v>
      </c>
      <c r="R365" s="39" t="s">
        <v>108</v>
      </c>
      <c r="S365" s="39" t="s">
        <v>44</v>
      </c>
      <c r="T365" s="39" t="s">
        <v>146</v>
      </c>
      <c r="U365" s="39">
        <v>637</v>
      </c>
      <c r="V365" s="39"/>
      <c r="W365" s="39">
        <v>82</v>
      </c>
    </row>
    <row r="366" spans="1:23">
      <c r="A366" s="39">
        <v>2010</v>
      </c>
      <c r="B366" s="39" t="s">
        <v>108</v>
      </c>
      <c r="C366" s="39" t="s">
        <v>44</v>
      </c>
      <c r="D366" s="39" t="s">
        <v>146</v>
      </c>
      <c r="E366" s="39">
        <v>637</v>
      </c>
      <c r="F366" s="39"/>
      <c r="G366" s="39">
        <v>82</v>
      </c>
      <c r="Q366" s="40">
        <v>2010</v>
      </c>
      <c r="R366" s="40" t="s">
        <v>108</v>
      </c>
      <c r="S366" s="40" t="s">
        <v>44</v>
      </c>
      <c r="T366" s="40" t="s">
        <v>147</v>
      </c>
      <c r="U366" s="40">
        <v>434</v>
      </c>
      <c r="V366" s="40"/>
      <c r="W366" s="40">
        <v>56</v>
      </c>
    </row>
    <row r="367" spans="1:23">
      <c r="A367" s="40">
        <v>2010</v>
      </c>
      <c r="B367" s="40" t="s">
        <v>108</v>
      </c>
      <c r="C367" s="40" t="s">
        <v>44</v>
      </c>
      <c r="D367" s="40" t="s">
        <v>147</v>
      </c>
      <c r="E367" s="40">
        <v>434</v>
      </c>
      <c r="F367" s="40"/>
      <c r="G367" s="40">
        <v>56</v>
      </c>
      <c r="Q367" s="39"/>
      <c r="R367" s="39"/>
      <c r="S367" s="39"/>
      <c r="T367" s="39"/>
      <c r="U367" s="39"/>
      <c r="V367" s="39"/>
      <c r="W367" s="39"/>
    </row>
    <row r="368" spans="1:23">
      <c r="A368" s="39"/>
      <c r="B368" s="39"/>
      <c r="C368" s="39"/>
      <c r="D368" s="39"/>
      <c r="E368" s="39"/>
      <c r="F368" s="39"/>
      <c r="G368" s="39"/>
      <c r="Q368" s="40">
        <v>2010</v>
      </c>
      <c r="R368" s="40" t="s">
        <v>110</v>
      </c>
      <c r="S368" s="40" t="s">
        <v>44</v>
      </c>
      <c r="T368" s="40" t="s">
        <v>130</v>
      </c>
      <c r="U368" s="40">
        <v>171153</v>
      </c>
      <c r="V368" s="40"/>
      <c r="W368" s="40">
        <v>22249</v>
      </c>
    </row>
    <row r="369" spans="1:23">
      <c r="A369" s="40">
        <v>2010</v>
      </c>
      <c r="B369" s="40" t="s">
        <v>110</v>
      </c>
      <c r="C369" s="40" t="s">
        <v>44</v>
      </c>
      <c r="D369" s="40" t="s">
        <v>130</v>
      </c>
      <c r="E369" s="40">
        <v>171153</v>
      </c>
      <c r="F369" s="40"/>
      <c r="G369" s="40">
        <v>22249</v>
      </c>
      <c r="Q369" s="39">
        <v>2010</v>
      </c>
      <c r="R369" s="39" t="s">
        <v>110</v>
      </c>
      <c r="S369" s="39" t="s">
        <v>44</v>
      </c>
      <c r="T369" s="39" t="s">
        <v>131</v>
      </c>
      <c r="U369" s="39">
        <v>123997</v>
      </c>
      <c r="V369" s="39"/>
      <c r="W369" s="39">
        <v>13639</v>
      </c>
    </row>
    <row r="370" spans="1:23">
      <c r="A370" s="39">
        <v>2010</v>
      </c>
      <c r="B370" s="39" t="s">
        <v>110</v>
      </c>
      <c r="C370" s="39" t="s">
        <v>44</v>
      </c>
      <c r="D370" s="39" t="s">
        <v>131</v>
      </c>
      <c r="E370" s="39">
        <v>123997</v>
      </c>
      <c r="F370" s="39"/>
      <c r="G370" s="39">
        <v>13639</v>
      </c>
      <c r="Q370" s="40">
        <v>2010</v>
      </c>
      <c r="R370" s="40" t="s">
        <v>110</v>
      </c>
      <c r="S370" s="40" t="s">
        <v>44</v>
      </c>
      <c r="T370" s="40" t="s">
        <v>132</v>
      </c>
      <c r="U370" s="40">
        <v>102017</v>
      </c>
      <c r="V370" s="40"/>
      <c r="W370" s="40">
        <v>11221</v>
      </c>
    </row>
    <row r="371" spans="1:23">
      <c r="A371" s="40">
        <v>2010</v>
      </c>
      <c r="B371" s="40" t="s">
        <v>110</v>
      </c>
      <c r="C371" s="40" t="s">
        <v>44</v>
      </c>
      <c r="D371" s="40" t="s">
        <v>132</v>
      </c>
      <c r="E371" s="40">
        <v>102017</v>
      </c>
      <c r="F371" s="40"/>
      <c r="G371" s="40">
        <v>11221</v>
      </c>
      <c r="Q371" s="39">
        <v>2010</v>
      </c>
      <c r="R371" s="39" t="s">
        <v>110</v>
      </c>
      <c r="S371" s="39" t="s">
        <v>44</v>
      </c>
      <c r="T371" s="39" t="s">
        <v>117</v>
      </c>
      <c r="U371" s="39">
        <v>90591</v>
      </c>
      <c r="V371" s="39"/>
      <c r="W371" s="39">
        <v>9965</v>
      </c>
    </row>
    <row r="372" spans="1:23">
      <c r="A372" s="39">
        <v>2010</v>
      </c>
      <c r="B372" s="39" t="s">
        <v>110</v>
      </c>
      <c r="C372" s="39" t="s">
        <v>44</v>
      </c>
      <c r="D372" s="39" t="s">
        <v>117</v>
      </c>
      <c r="E372" s="39">
        <v>90591</v>
      </c>
      <c r="F372" s="39"/>
      <c r="G372" s="39">
        <v>9965</v>
      </c>
      <c r="Q372" s="40">
        <v>2010</v>
      </c>
      <c r="R372" s="40" t="s">
        <v>110</v>
      </c>
      <c r="S372" s="40" t="s">
        <v>44</v>
      </c>
      <c r="T372" s="40" t="s">
        <v>133</v>
      </c>
      <c r="U372" s="40">
        <v>65119</v>
      </c>
      <c r="V372" s="40"/>
      <c r="W372" s="40">
        <v>7163</v>
      </c>
    </row>
    <row r="373" spans="1:23">
      <c r="A373" s="40">
        <v>2010</v>
      </c>
      <c r="B373" s="40" t="s">
        <v>110</v>
      </c>
      <c r="C373" s="40" t="s">
        <v>44</v>
      </c>
      <c r="D373" s="40" t="s">
        <v>133</v>
      </c>
      <c r="E373" s="40">
        <v>65119</v>
      </c>
      <c r="F373" s="40"/>
      <c r="G373" s="40">
        <v>7163</v>
      </c>
      <c r="Q373" s="39">
        <v>2010</v>
      </c>
      <c r="R373" s="39" t="s">
        <v>110</v>
      </c>
      <c r="S373" s="39" t="s">
        <v>44</v>
      </c>
      <c r="T373" s="39" t="s">
        <v>134</v>
      </c>
      <c r="U373" s="39">
        <v>56770</v>
      </c>
      <c r="V373" s="39"/>
      <c r="W373" s="39">
        <v>6244</v>
      </c>
    </row>
    <row r="374" spans="1:23">
      <c r="A374" s="39">
        <v>2010</v>
      </c>
      <c r="B374" s="39" t="s">
        <v>110</v>
      </c>
      <c r="C374" s="39" t="s">
        <v>44</v>
      </c>
      <c r="D374" s="39" t="s">
        <v>134</v>
      </c>
      <c r="E374" s="39">
        <v>56770</v>
      </c>
      <c r="F374" s="39"/>
      <c r="G374" s="39">
        <v>6244</v>
      </c>
      <c r="Q374" s="40">
        <v>2010</v>
      </c>
      <c r="R374" s="40" t="s">
        <v>110</v>
      </c>
      <c r="S374" s="40" t="s">
        <v>44</v>
      </c>
      <c r="T374" s="40" t="s">
        <v>135</v>
      </c>
      <c r="U374" s="40">
        <v>45947</v>
      </c>
      <c r="V374" s="40"/>
      <c r="W374" s="40">
        <v>5054</v>
      </c>
    </row>
    <row r="375" spans="1:23">
      <c r="A375" s="40">
        <v>2010</v>
      </c>
      <c r="B375" s="40" t="s">
        <v>110</v>
      </c>
      <c r="C375" s="40" t="s">
        <v>44</v>
      </c>
      <c r="D375" s="40" t="s">
        <v>135</v>
      </c>
      <c r="E375" s="40">
        <v>45947</v>
      </c>
      <c r="F375" s="40"/>
      <c r="G375" s="40">
        <v>5054</v>
      </c>
      <c r="Q375" s="39">
        <v>2010</v>
      </c>
      <c r="R375" s="39" t="s">
        <v>110</v>
      </c>
      <c r="S375" s="39" t="s">
        <v>44</v>
      </c>
      <c r="T375" s="39" t="s">
        <v>136</v>
      </c>
      <c r="U375" s="39">
        <v>36472</v>
      </c>
      <c r="V375" s="39"/>
      <c r="W375" s="39">
        <v>4011</v>
      </c>
    </row>
    <row r="376" spans="1:23">
      <c r="A376" s="39">
        <v>2010</v>
      </c>
      <c r="B376" s="39" t="s">
        <v>110</v>
      </c>
      <c r="C376" s="39" t="s">
        <v>44</v>
      </c>
      <c r="D376" s="39" t="s">
        <v>136</v>
      </c>
      <c r="E376" s="39">
        <v>36472</v>
      </c>
      <c r="F376" s="39"/>
      <c r="G376" s="39">
        <v>4011</v>
      </c>
      <c r="Q376" s="40">
        <v>2010</v>
      </c>
      <c r="R376" s="40" t="s">
        <v>110</v>
      </c>
      <c r="S376" s="40" t="s">
        <v>44</v>
      </c>
      <c r="T376" s="40" t="s">
        <v>137</v>
      </c>
      <c r="U376" s="40">
        <v>23495</v>
      </c>
      <c r="V376" s="40"/>
      <c r="W376" s="40">
        <v>2584</v>
      </c>
    </row>
    <row r="377" spans="1:23">
      <c r="A377" s="40">
        <v>2010</v>
      </c>
      <c r="B377" s="40" t="s">
        <v>110</v>
      </c>
      <c r="C377" s="40" t="s">
        <v>44</v>
      </c>
      <c r="D377" s="40" t="s">
        <v>137</v>
      </c>
      <c r="E377" s="40">
        <v>23495</v>
      </c>
      <c r="F377" s="40"/>
      <c r="G377" s="40">
        <v>2584</v>
      </c>
      <c r="Q377" s="39">
        <v>2010</v>
      </c>
      <c r="R377" s="39" t="s">
        <v>110</v>
      </c>
      <c r="S377" s="39" t="s">
        <v>44</v>
      </c>
      <c r="T377" s="39" t="s">
        <v>138</v>
      </c>
      <c r="U377" s="39">
        <v>19333</v>
      </c>
      <c r="V377" s="39"/>
      <c r="W377" s="39">
        <v>2126</v>
      </c>
    </row>
    <row r="378" spans="1:23">
      <c r="A378" s="39">
        <v>2010</v>
      </c>
      <c r="B378" s="39" t="s">
        <v>110</v>
      </c>
      <c r="C378" s="39" t="s">
        <v>44</v>
      </c>
      <c r="D378" s="39" t="s">
        <v>138</v>
      </c>
      <c r="E378" s="39">
        <v>19333</v>
      </c>
      <c r="F378" s="39"/>
      <c r="G378" s="39">
        <v>2126</v>
      </c>
      <c r="Q378" s="40">
        <v>2010</v>
      </c>
      <c r="R378" s="40" t="s">
        <v>110</v>
      </c>
      <c r="S378" s="40" t="s">
        <v>44</v>
      </c>
      <c r="T378" s="40" t="s">
        <v>139</v>
      </c>
      <c r="U378" s="40">
        <v>13083</v>
      </c>
      <c r="V378" s="40"/>
      <c r="W378" s="40">
        <v>1439</v>
      </c>
    </row>
    <row r="379" spans="1:23">
      <c r="A379" s="40">
        <v>2010</v>
      </c>
      <c r="B379" s="40" t="s">
        <v>110</v>
      </c>
      <c r="C379" s="40" t="s">
        <v>44</v>
      </c>
      <c r="D379" s="40" t="s">
        <v>139</v>
      </c>
      <c r="E379" s="40">
        <v>13083</v>
      </c>
      <c r="F379" s="40"/>
      <c r="G379" s="40">
        <v>1439</v>
      </c>
      <c r="Q379" s="39">
        <v>2010</v>
      </c>
      <c r="R379" s="39" t="s">
        <v>110</v>
      </c>
      <c r="S379" s="39" t="s">
        <v>44</v>
      </c>
      <c r="T379" s="39" t="s">
        <v>140</v>
      </c>
      <c r="U379" s="39">
        <v>9135</v>
      </c>
      <c r="V379" s="39"/>
      <c r="W379" s="39">
        <v>1004</v>
      </c>
    </row>
    <row r="380" spans="1:23">
      <c r="A380" s="39">
        <v>2010</v>
      </c>
      <c r="B380" s="39" t="s">
        <v>110</v>
      </c>
      <c r="C380" s="39" t="s">
        <v>44</v>
      </c>
      <c r="D380" s="39" t="s">
        <v>140</v>
      </c>
      <c r="E380" s="39">
        <v>9135</v>
      </c>
      <c r="F380" s="39"/>
      <c r="G380" s="39">
        <v>1004</v>
      </c>
      <c r="Q380" s="40">
        <v>2010</v>
      </c>
      <c r="R380" s="40" t="s">
        <v>110</v>
      </c>
      <c r="S380" s="40" t="s">
        <v>44</v>
      </c>
      <c r="T380" s="40" t="s">
        <v>141</v>
      </c>
      <c r="U380" s="40">
        <v>6896</v>
      </c>
      <c r="V380" s="40"/>
      <c r="W380" s="40">
        <v>758</v>
      </c>
    </row>
    <row r="381" spans="1:23">
      <c r="A381" s="40">
        <v>2010</v>
      </c>
      <c r="B381" s="40" t="s">
        <v>110</v>
      </c>
      <c r="C381" s="40" t="s">
        <v>44</v>
      </c>
      <c r="D381" s="40" t="s">
        <v>141</v>
      </c>
      <c r="E381" s="40">
        <v>6896</v>
      </c>
      <c r="F381" s="40"/>
      <c r="G381" s="40">
        <v>758</v>
      </c>
      <c r="Q381" s="39">
        <v>2010</v>
      </c>
      <c r="R381" s="39" t="s">
        <v>110</v>
      </c>
      <c r="S381" s="39" t="s">
        <v>44</v>
      </c>
      <c r="T381" s="39" t="s">
        <v>142</v>
      </c>
      <c r="U381" s="39">
        <v>5592</v>
      </c>
      <c r="V381" s="39"/>
      <c r="W381" s="39">
        <v>726</v>
      </c>
    </row>
    <row r="382" spans="1:23">
      <c r="A382" s="39">
        <v>2010</v>
      </c>
      <c r="B382" s="39" t="s">
        <v>110</v>
      </c>
      <c r="C382" s="39" t="s">
        <v>44</v>
      </c>
      <c r="D382" s="39" t="s">
        <v>142</v>
      </c>
      <c r="E382" s="39">
        <v>5592</v>
      </c>
      <c r="F382" s="39"/>
      <c r="G382" s="39">
        <v>726</v>
      </c>
      <c r="Q382" s="40">
        <v>2010</v>
      </c>
      <c r="R382" s="40" t="s">
        <v>110</v>
      </c>
      <c r="S382" s="40" t="s">
        <v>44</v>
      </c>
      <c r="T382" s="40" t="s">
        <v>143</v>
      </c>
      <c r="U382" s="40">
        <v>3968</v>
      </c>
      <c r="V382" s="40"/>
      <c r="W382" s="40">
        <v>515</v>
      </c>
    </row>
    <row r="383" spans="1:23">
      <c r="A383" s="40">
        <v>2010</v>
      </c>
      <c r="B383" s="40" t="s">
        <v>110</v>
      </c>
      <c r="C383" s="40" t="s">
        <v>44</v>
      </c>
      <c r="D383" s="40" t="s">
        <v>143</v>
      </c>
      <c r="E383" s="40">
        <v>3968</v>
      </c>
      <c r="F383" s="40"/>
      <c r="G383" s="40">
        <v>515</v>
      </c>
      <c r="Q383" s="39">
        <v>2010</v>
      </c>
      <c r="R383" s="39" t="s">
        <v>110</v>
      </c>
      <c r="S383" s="39" t="s">
        <v>44</v>
      </c>
      <c r="T383" s="39" t="s">
        <v>144</v>
      </c>
      <c r="U383" s="39">
        <v>1185</v>
      </c>
      <c r="V383" s="39"/>
      <c r="W383" s="39">
        <v>154</v>
      </c>
    </row>
    <row r="384" spans="1:23">
      <c r="A384" s="39">
        <v>2010</v>
      </c>
      <c r="B384" s="39" t="s">
        <v>110</v>
      </c>
      <c r="C384" s="39" t="s">
        <v>44</v>
      </c>
      <c r="D384" s="39" t="s">
        <v>144</v>
      </c>
      <c r="E384" s="39">
        <v>1185</v>
      </c>
      <c r="F384" s="39"/>
      <c r="G384" s="39">
        <v>154</v>
      </c>
      <c r="Q384" s="40">
        <v>2010</v>
      </c>
      <c r="R384" s="40" t="s">
        <v>110</v>
      </c>
      <c r="S384" s="40" t="s">
        <v>44</v>
      </c>
      <c r="T384" s="40" t="s">
        <v>145</v>
      </c>
      <c r="U384" s="40">
        <v>1453</v>
      </c>
      <c r="V384" s="40"/>
      <c r="W384" s="40">
        <v>188</v>
      </c>
    </row>
    <row r="385" spans="1:23">
      <c r="A385" s="40">
        <v>2010</v>
      </c>
      <c r="B385" s="40" t="s">
        <v>110</v>
      </c>
      <c r="C385" s="40" t="s">
        <v>44</v>
      </c>
      <c r="D385" s="40" t="s">
        <v>145</v>
      </c>
      <c r="E385" s="40">
        <v>1453</v>
      </c>
      <c r="F385" s="40"/>
      <c r="G385" s="40">
        <v>188</v>
      </c>
      <c r="Q385" s="39">
        <v>2010</v>
      </c>
      <c r="R385" s="39" t="s">
        <v>110</v>
      </c>
      <c r="S385" s="39" t="s">
        <v>44</v>
      </c>
      <c r="T385" s="39" t="s">
        <v>146</v>
      </c>
      <c r="U385" s="39">
        <v>954</v>
      </c>
      <c r="V385" s="39"/>
      <c r="W385" s="39">
        <v>124</v>
      </c>
    </row>
    <row r="386" spans="1:23">
      <c r="A386" s="39">
        <v>2010</v>
      </c>
      <c r="B386" s="39" t="s">
        <v>110</v>
      </c>
      <c r="C386" s="39" t="s">
        <v>44</v>
      </c>
      <c r="D386" s="39" t="s">
        <v>146</v>
      </c>
      <c r="E386" s="39">
        <v>954</v>
      </c>
      <c r="F386" s="39"/>
      <c r="G386" s="39">
        <v>124</v>
      </c>
      <c r="Q386" s="40">
        <v>2010</v>
      </c>
      <c r="R386" s="40" t="s">
        <v>110</v>
      </c>
      <c r="S386" s="40" t="s">
        <v>44</v>
      </c>
      <c r="T386" s="40" t="s">
        <v>147</v>
      </c>
      <c r="U386" s="40">
        <v>591</v>
      </c>
      <c r="V386" s="40"/>
      <c r="W386" s="40">
        <v>76</v>
      </c>
    </row>
    <row r="387" spans="1:23">
      <c r="A387" s="40">
        <v>2010</v>
      </c>
      <c r="B387" s="40" t="s">
        <v>110</v>
      </c>
      <c r="C387" s="40" t="s">
        <v>44</v>
      </c>
      <c r="D387" s="40" t="s">
        <v>147</v>
      </c>
      <c r="E387" s="40">
        <v>591</v>
      </c>
      <c r="F387" s="40"/>
      <c r="G387" s="40">
        <v>76</v>
      </c>
      <c r="Q387" s="39"/>
      <c r="R387" s="39"/>
      <c r="S387" s="39"/>
      <c r="T387" s="39"/>
      <c r="U387" s="39"/>
      <c r="V387" s="39"/>
      <c r="W387" s="39"/>
    </row>
    <row r="388" spans="1:23">
      <c r="A388" s="39"/>
      <c r="B388" s="39"/>
      <c r="C388" s="39"/>
      <c r="D388" s="39"/>
      <c r="E388" s="39"/>
      <c r="F388" s="39"/>
      <c r="G388" s="39"/>
      <c r="Q388" s="40">
        <v>2010</v>
      </c>
      <c r="R388" s="40" t="s">
        <v>111</v>
      </c>
      <c r="S388" s="40" t="s">
        <v>44</v>
      </c>
      <c r="T388" s="40" t="s">
        <v>130</v>
      </c>
      <c r="U388" s="40">
        <v>97690</v>
      </c>
      <c r="V388" s="40"/>
      <c r="W388" s="40">
        <v>12699</v>
      </c>
    </row>
    <row r="389" spans="1:23">
      <c r="A389" s="40">
        <v>2010</v>
      </c>
      <c r="B389" s="40" t="s">
        <v>111</v>
      </c>
      <c r="C389" s="40" t="s">
        <v>44</v>
      </c>
      <c r="D389" s="40" t="s">
        <v>130</v>
      </c>
      <c r="E389" s="40">
        <v>97690</v>
      </c>
      <c r="F389" s="40"/>
      <c r="G389" s="40">
        <v>12699</v>
      </c>
      <c r="Q389" s="39">
        <v>2010</v>
      </c>
      <c r="R389" s="39" t="s">
        <v>111</v>
      </c>
      <c r="S389" s="39" t="s">
        <v>44</v>
      </c>
      <c r="T389" s="39" t="s">
        <v>131</v>
      </c>
      <c r="U389" s="39">
        <v>69316</v>
      </c>
      <c r="V389" s="39"/>
      <c r="W389" s="39">
        <v>7624</v>
      </c>
    </row>
    <row r="390" spans="1:23">
      <c r="A390" s="39">
        <v>2010</v>
      </c>
      <c r="B390" s="39" t="s">
        <v>111</v>
      </c>
      <c r="C390" s="39" t="s">
        <v>44</v>
      </c>
      <c r="D390" s="39" t="s">
        <v>131</v>
      </c>
      <c r="E390" s="39">
        <v>69316</v>
      </c>
      <c r="F390" s="39"/>
      <c r="G390" s="39">
        <v>7624</v>
      </c>
      <c r="Q390" s="40">
        <v>2010</v>
      </c>
      <c r="R390" s="40" t="s">
        <v>111</v>
      </c>
      <c r="S390" s="40" t="s">
        <v>44</v>
      </c>
      <c r="T390" s="40" t="s">
        <v>132</v>
      </c>
      <c r="U390" s="40">
        <v>54074</v>
      </c>
      <c r="V390" s="40"/>
      <c r="W390" s="40">
        <v>5948</v>
      </c>
    </row>
    <row r="391" spans="1:23">
      <c r="A391" s="40">
        <v>2010</v>
      </c>
      <c r="B391" s="40" t="s">
        <v>111</v>
      </c>
      <c r="C391" s="40" t="s">
        <v>44</v>
      </c>
      <c r="D391" s="40" t="s">
        <v>132</v>
      </c>
      <c r="E391" s="40">
        <v>54074</v>
      </c>
      <c r="F391" s="40"/>
      <c r="G391" s="40">
        <v>5948</v>
      </c>
      <c r="Q391" s="39">
        <v>2010</v>
      </c>
      <c r="R391" s="39" t="s">
        <v>111</v>
      </c>
      <c r="S391" s="39" t="s">
        <v>44</v>
      </c>
      <c r="T391" s="39" t="s">
        <v>117</v>
      </c>
      <c r="U391" s="39">
        <v>46642</v>
      </c>
      <c r="V391" s="39"/>
      <c r="W391" s="39">
        <v>5130</v>
      </c>
    </row>
    <row r="392" spans="1:23">
      <c r="A392" s="39">
        <v>2010</v>
      </c>
      <c r="B392" s="39" t="s">
        <v>111</v>
      </c>
      <c r="C392" s="39" t="s">
        <v>44</v>
      </c>
      <c r="D392" s="39" t="s">
        <v>117</v>
      </c>
      <c r="E392" s="39">
        <v>46642</v>
      </c>
      <c r="F392" s="39"/>
      <c r="G392" s="39">
        <v>5130</v>
      </c>
      <c r="Q392" s="40">
        <v>2010</v>
      </c>
      <c r="R392" s="40" t="s">
        <v>111</v>
      </c>
      <c r="S392" s="40" t="s">
        <v>44</v>
      </c>
      <c r="T392" s="40" t="s">
        <v>133</v>
      </c>
      <c r="U392" s="40">
        <v>32916</v>
      </c>
      <c r="V392" s="40"/>
      <c r="W392" s="40">
        <v>3620</v>
      </c>
    </row>
    <row r="393" spans="1:23">
      <c r="A393" s="40">
        <v>2010</v>
      </c>
      <c r="B393" s="40" t="s">
        <v>111</v>
      </c>
      <c r="C393" s="40" t="s">
        <v>44</v>
      </c>
      <c r="D393" s="40" t="s">
        <v>133</v>
      </c>
      <c r="E393" s="40">
        <v>32916</v>
      </c>
      <c r="F393" s="40"/>
      <c r="G393" s="40">
        <v>3620</v>
      </c>
      <c r="Q393" s="39">
        <v>2010</v>
      </c>
      <c r="R393" s="39" t="s">
        <v>111</v>
      </c>
      <c r="S393" s="39" t="s">
        <v>44</v>
      </c>
      <c r="T393" s="39" t="s">
        <v>134</v>
      </c>
      <c r="U393" s="39">
        <v>30507</v>
      </c>
      <c r="V393" s="39"/>
      <c r="W393" s="39">
        <v>3355</v>
      </c>
    </row>
    <row r="394" spans="1:23">
      <c r="A394" s="39">
        <v>2010</v>
      </c>
      <c r="B394" s="39" t="s">
        <v>111</v>
      </c>
      <c r="C394" s="39" t="s">
        <v>44</v>
      </c>
      <c r="D394" s="39" t="s">
        <v>134</v>
      </c>
      <c r="E394" s="39">
        <v>30507</v>
      </c>
      <c r="F394" s="39"/>
      <c r="G394" s="39">
        <v>3355</v>
      </c>
      <c r="Q394" s="40">
        <v>2010</v>
      </c>
      <c r="R394" s="40" t="s">
        <v>111</v>
      </c>
      <c r="S394" s="40" t="s">
        <v>44</v>
      </c>
      <c r="T394" s="40" t="s">
        <v>135</v>
      </c>
      <c r="U394" s="40">
        <v>23376</v>
      </c>
      <c r="V394" s="40"/>
      <c r="W394" s="40">
        <v>2571</v>
      </c>
    </row>
    <row r="395" spans="1:23">
      <c r="A395" s="40">
        <v>2010</v>
      </c>
      <c r="B395" s="40" t="s">
        <v>111</v>
      </c>
      <c r="C395" s="40" t="s">
        <v>44</v>
      </c>
      <c r="D395" s="40" t="s">
        <v>135</v>
      </c>
      <c r="E395" s="40">
        <v>23376</v>
      </c>
      <c r="F395" s="40"/>
      <c r="G395" s="40">
        <v>2571</v>
      </c>
      <c r="Q395" s="39">
        <v>2010</v>
      </c>
      <c r="R395" s="39" t="s">
        <v>111</v>
      </c>
      <c r="S395" s="39" t="s">
        <v>44</v>
      </c>
      <c r="T395" s="39" t="s">
        <v>136</v>
      </c>
      <c r="U395" s="39">
        <v>19451</v>
      </c>
      <c r="V395" s="39"/>
      <c r="W395" s="39">
        <v>2139</v>
      </c>
    </row>
    <row r="396" spans="1:23">
      <c r="A396" s="39">
        <v>2010</v>
      </c>
      <c r="B396" s="39" t="s">
        <v>111</v>
      </c>
      <c r="C396" s="39" t="s">
        <v>44</v>
      </c>
      <c r="D396" s="39" t="s">
        <v>136</v>
      </c>
      <c r="E396" s="39">
        <v>19451</v>
      </c>
      <c r="F396" s="39"/>
      <c r="G396" s="39">
        <v>2139</v>
      </c>
      <c r="Q396" s="40">
        <v>2010</v>
      </c>
      <c r="R396" s="40" t="s">
        <v>111</v>
      </c>
      <c r="S396" s="40" t="s">
        <v>44</v>
      </c>
      <c r="T396" s="40" t="s">
        <v>137</v>
      </c>
      <c r="U396" s="40">
        <v>12826</v>
      </c>
      <c r="V396" s="40"/>
      <c r="W396" s="40">
        <v>1410</v>
      </c>
    </row>
    <row r="397" spans="1:23">
      <c r="A397" s="40">
        <v>2010</v>
      </c>
      <c r="B397" s="40" t="s">
        <v>111</v>
      </c>
      <c r="C397" s="40" t="s">
        <v>44</v>
      </c>
      <c r="D397" s="40" t="s">
        <v>137</v>
      </c>
      <c r="E397" s="40">
        <v>12826</v>
      </c>
      <c r="F397" s="40"/>
      <c r="G397" s="40">
        <v>1410</v>
      </c>
      <c r="Q397" s="39">
        <v>2010</v>
      </c>
      <c r="R397" s="39" t="s">
        <v>111</v>
      </c>
      <c r="S397" s="39" t="s">
        <v>44</v>
      </c>
      <c r="T397" s="39" t="s">
        <v>138</v>
      </c>
      <c r="U397" s="39">
        <v>11575</v>
      </c>
      <c r="V397" s="39"/>
      <c r="W397" s="39">
        <v>1273</v>
      </c>
    </row>
    <row r="398" spans="1:23">
      <c r="A398" s="39">
        <v>2010</v>
      </c>
      <c r="B398" s="39" t="s">
        <v>111</v>
      </c>
      <c r="C398" s="39" t="s">
        <v>44</v>
      </c>
      <c r="D398" s="39" t="s">
        <v>138</v>
      </c>
      <c r="E398" s="39">
        <v>11575</v>
      </c>
      <c r="F398" s="39"/>
      <c r="G398" s="39">
        <v>1273</v>
      </c>
      <c r="Q398" s="40">
        <v>2010</v>
      </c>
      <c r="R398" s="40" t="s">
        <v>111</v>
      </c>
      <c r="S398" s="40" t="s">
        <v>44</v>
      </c>
      <c r="T398" s="40" t="s">
        <v>139</v>
      </c>
      <c r="U398" s="40">
        <v>7992</v>
      </c>
      <c r="V398" s="40"/>
      <c r="W398" s="40">
        <v>879</v>
      </c>
    </row>
    <row r="399" spans="1:23">
      <c r="A399" s="40">
        <v>2010</v>
      </c>
      <c r="B399" s="40" t="s">
        <v>111</v>
      </c>
      <c r="C399" s="40" t="s">
        <v>44</v>
      </c>
      <c r="D399" s="40" t="s">
        <v>139</v>
      </c>
      <c r="E399" s="40">
        <v>7992</v>
      </c>
      <c r="F399" s="40"/>
      <c r="G399" s="40">
        <v>879</v>
      </c>
      <c r="Q399" s="39">
        <v>2010</v>
      </c>
      <c r="R399" s="39" t="s">
        <v>111</v>
      </c>
      <c r="S399" s="39" t="s">
        <v>44</v>
      </c>
      <c r="T399" s="39" t="s">
        <v>140</v>
      </c>
      <c r="U399" s="39">
        <v>6759</v>
      </c>
      <c r="V399" s="39"/>
      <c r="W399" s="39">
        <v>743</v>
      </c>
    </row>
    <row r="400" spans="1:23">
      <c r="A400" s="39">
        <v>2010</v>
      </c>
      <c r="B400" s="39" t="s">
        <v>111</v>
      </c>
      <c r="C400" s="39" t="s">
        <v>44</v>
      </c>
      <c r="D400" s="39" t="s">
        <v>140</v>
      </c>
      <c r="E400" s="39">
        <v>6759</v>
      </c>
      <c r="F400" s="39"/>
      <c r="G400" s="39">
        <v>743</v>
      </c>
      <c r="Q400" s="40">
        <v>2010</v>
      </c>
      <c r="R400" s="40" t="s">
        <v>111</v>
      </c>
      <c r="S400" s="40" t="s">
        <v>44</v>
      </c>
      <c r="T400" s="40" t="s">
        <v>141</v>
      </c>
      <c r="U400" s="40">
        <v>5165</v>
      </c>
      <c r="V400" s="40"/>
      <c r="W400" s="40">
        <v>568</v>
      </c>
    </row>
    <row r="401" spans="1:23">
      <c r="A401" s="40">
        <v>2010</v>
      </c>
      <c r="B401" s="40" t="s">
        <v>111</v>
      </c>
      <c r="C401" s="40" t="s">
        <v>44</v>
      </c>
      <c r="D401" s="40" t="s">
        <v>141</v>
      </c>
      <c r="E401" s="40">
        <v>5165</v>
      </c>
      <c r="F401" s="40"/>
      <c r="G401" s="40">
        <v>568</v>
      </c>
      <c r="Q401" s="39">
        <v>2010</v>
      </c>
      <c r="R401" s="39" t="s">
        <v>111</v>
      </c>
      <c r="S401" s="39" t="s">
        <v>44</v>
      </c>
      <c r="T401" s="39" t="s">
        <v>142</v>
      </c>
      <c r="U401" s="39">
        <v>4912</v>
      </c>
      <c r="V401" s="39"/>
      <c r="W401" s="39">
        <v>638</v>
      </c>
    </row>
    <row r="402" spans="1:23">
      <c r="A402" s="39">
        <v>2010</v>
      </c>
      <c r="B402" s="39" t="s">
        <v>111</v>
      </c>
      <c r="C402" s="39" t="s">
        <v>44</v>
      </c>
      <c r="D402" s="39" t="s">
        <v>142</v>
      </c>
      <c r="E402" s="39">
        <v>4912</v>
      </c>
      <c r="F402" s="39"/>
      <c r="G402" s="39">
        <v>638</v>
      </c>
      <c r="Q402" s="40">
        <v>2010</v>
      </c>
      <c r="R402" s="40" t="s">
        <v>111</v>
      </c>
      <c r="S402" s="40" t="s">
        <v>44</v>
      </c>
      <c r="T402" s="40" t="s">
        <v>143</v>
      </c>
      <c r="U402" s="40">
        <v>3628</v>
      </c>
      <c r="V402" s="40"/>
      <c r="W402" s="40">
        <v>471</v>
      </c>
    </row>
    <row r="403" spans="1:23">
      <c r="A403" s="40">
        <v>2010</v>
      </c>
      <c r="B403" s="40" t="s">
        <v>111</v>
      </c>
      <c r="C403" s="40" t="s">
        <v>44</v>
      </c>
      <c r="D403" s="40" t="s">
        <v>143</v>
      </c>
      <c r="E403" s="40">
        <v>3628</v>
      </c>
      <c r="F403" s="40"/>
      <c r="G403" s="40">
        <v>471</v>
      </c>
      <c r="Q403" s="39">
        <v>2010</v>
      </c>
      <c r="R403" s="39" t="s">
        <v>111</v>
      </c>
      <c r="S403" s="39" t="s">
        <v>44</v>
      </c>
      <c r="T403" s="39" t="s">
        <v>144</v>
      </c>
      <c r="U403" s="39">
        <v>1199</v>
      </c>
      <c r="V403" s="39"/>
      <c r="W403" s="39">
        <v>155</v>
      </c>
    </row>
    <row r="404" spans="1:23">
      <c r="A404" s="39">
        <v>2010</v>
      </c>
      <c r="B404" s="39" t="s">
        <v>111</v>
      </c>
      <c r="C404" s="39" t="s">
        <v>44</v>
      </c>
      <c r="D404" s="39" t="s">
        <v>144</v>
      </c>
      <c r="E404" s="39">
        <v>1199</v>
      </c>
      <c r="F404" s="39"/>
      <c r="G404" s="39">
        <v>155</v>
      </c>
      <c r="Q404" s="40">
        <v>2010</v>
      </c>
      <c r="R404" s="40" t="s">
        <v>111</v>
      </c>
      <c r="S404" s="40" t="s">
        <v>44</v>
      </c>
      <c r="T404" s="40" t="s">
        <v>145</v>
      </c>
      <c r="U404" s="40">
        <v>1583</v>
      </c>
      <c r="V404" s="40"/>
      <c r="W404" s="40">
        <v>205</v>
      </c>
    </row>
    <row r="405" spans="1:23">
      <c r="A405" s="40">
        <v>2010</v>
      </c>
      <c r="B405" s="40" t="s">
        <v>111</v>
      </c>
      <c r="C405" s="40" t="s">
        <v>44</v>
      </c>
      <c r="D405" s="40" t="s">
        <v>145</v>
      </c>
      <c r="E405" s="40">
        <v>1583</v>
      </c>
      <c r="F405" s="40"/>
      <c r="G405" s="40">
        <v>205</v>
      </c>
      <c r="Q405" s="39">
        <v>2010</v>
      </c>
      <c r="R405" s="39" t="s">
        <v>111</v>
      </c>
      <c r="S405" s="39" t="s">
        <v>44</v>
      </c>
      <c r="T405" s="39" t="s">
        <v>146</v>
      </c>
      <c r="U405" s="39">
        <v>1116</v>
      </c>
      <c r="V405" s="39"/>
      <c r="W405" s="39">
        <v>145</v>
      </c>
    </row>
    <row r="406" spans="1:23">
      <c r="A406" s="39">
        <v>2010</v>
      </c>
      <c r="B406" s="39" t="s">
        <v>111</v>
      </c>
      <c r="C406" s="39" t="s">
        <v>44</v>
      </c>
      <c r="D406" s="39" t="s">
        <v>146</v>
      </c>
      <c r="E406" s="39">
        <v>1116</v>
      </c>
      <c r="F406" s="39"/>
      <c r="G406" s="39">
        <v>145</v>
      </c>
      <c r="Q406" s="40">
        <v>2010</v>
      </c>
      <c r="R406" s="40" t="s">
        <v>111</v>
      </c>
      <c r="S406" s="40" t="s">
        <v>44</v>
      </c>
      <c r="T406" s="40" t="s">
        <v>147</v>
      </c>
      <c r="U406" s="40">
        <v>878</v>
      </c>
      <c r="V406" s="40"/>
      <c r="W406" s="40">
        <v>114</v>
      </c>
    </row>
    <row r="407" spans="1:23">
      <c r="A407" s="40">
        <v>2010</v>
      </c>
      <c r="B407" s="40" t="s">
        <v>111</v>
      </c>
      <c r="C407" s="40" t="s">
        <v>44</v>
      </c>
      <c r="D407" s="40" t="s">
        <v>147</v>
      </c>
      <c r="E407" s="40">
        <v>878</v>
      </c>
      <c r="F407" s="40"/>
      <c r="G407" s="40">
        <v>114</v>
      </c>
      <c r="Q407" s="39"/>
      <c r="R407" s="39"/>
      <c r="S407" s="39"/>
      <c r="T407" s="39"/>
      <c r="U407" s="39"/>
      <c r="V407" s="39"/>
      <c r="W407" s="39"/>
    </row>
    <row r="408" spans="1:23">
      <c r="A408" s="39"/>
      <c r="B408" s="39"/>
      <c r="C408" s="39"/>
      <c r="D408" s="39"/>
      <c r="E408" s="39"/>
      <c r="F408" s="39"/>
      <c r="G408" s="39"/>
      <c r="Q408" s="40"/>
      <c r="R408" s="40"/>
      <c r="S408" s="40"/>
      <c r="T408" s="40"/>
      <c r="U408" s="40"/>
      <c r="V408" s="40"/>
      <c r="W408" s="40"/>
    </row>
    <row r="409" spans="1:23">
      <c r="A409" s="40"/>
      <c r="B409" s="40"/>
      <c r="C409" s="40"/>
      <c r="D409" s="40"/>
      <c r="E409" s="40"/>
      <c r="F409" s="40"/>
      <c r="G409" s="40"/>
      <c r="Q409" s="39"/>
      <c r="R409" s="39"/>
      <c r="S409" s="39"/>
      <c r="T409" s="39"/>
      <c r="U409" s="39"/>
      <c r="V409" s="39"/>
      <c r="W409" s="39"/>
    </row>
    <row r="410" spans="1:23">
      <c r="A410" s="39"/>
      <c r="B410" s="39"/>
      <c r="C410" s="39"/>
      <c r="D410" s="39"/>
      <c r="E410" s="39"/>
      <c r="F410" s="39"/>
      <c r="G410" s="39"/>
      <c r="Q410" s="40"/>
      <c r="R410" s="40"/>
      <c r="S410" s="40"/>
      <c r="T410" s="40"/>
      <c r="U410" s="40"/>
      <c r="V410" s="40"/>
      <c r="W410" s="40"/>
    </row>
    <row r="411" spans="1:23">
      <c r="A411" s="40"/>
      <c r="B411" s="40"/>
      <c r="C411" s="40"/>
      <c r="D411" s="40"/>
      <c r="E411" s="40"/>
      <c r="F411" s="40"/>
      <c r="G411" s="40"/>
      <c r="Q411" s="39"/>
      <c r="R411" s="39"/>
      <c r="S411" s="39"/>
      <c r="T411" s="39"/>
      <c r="U411" s="39"/>
      <c r="V411" s="39"/>
      <c r="W411" s="39"/>
    </row>
    <row r="412" spans="1:23">
      <c r="A412" s="39"/>
      <c r="B412" s="39"/>
      <c r="C412" s="39"/>
      <c r="D412" s="39"/>
      <c r="E412" s="39"/>
      <c r="F412" s="39"/>
      <c r="G412" s="39"/>
      <c r="Q412" s="40"/>
      <c r="R412" s="40"/>
      <c r="S412" s="40"/>
      <c r="T412" s="40"/>
      <c r="U412" s="40"/>
      <c r="V412" s="40"/>
      <c r="W412" s="40"/>
    </row>
    <row r="413" spans="1:23">
      <c r="A413" s="40"/>
      <c r="B413" s="40"/>
      <c r="C413" s="40"/>
      <c r="D413" s="40"/>
      <c r="E413" s="40"/>
      <c r="F413" s="40"/>
      <c r="G413" s="40"/>
      <c r="Q413" s="39"/>
      <c r="R413" s="39"/>
      <c r="S413" s="39"/>
      <c r="T413" s="39"/>
      <c r="U413" s="39"/>
      <c r="V413" s="39"/>
      <c r="W413" s="39"/>
    </row>
    <row r="414" spans="1:23">
      <c r="A414" s="39"/>
      <c r="B414" s="39"/>
      <c r="C414" s="39"/>
      <c r="D414" s="39"/>
      <c r="E414" s="39"/>
      <c r="F414" s="39"/>
      <c r="G414" s="39"/>
      <c r="Q414" s="40">
        <v>2015</v>
      </c>
      <c r="R414" s="40" t="s">
        <v>102</v>
      </c>
      <c r="S414" s="40" t="s">
        <v>43</v>
      </c>
      <c r="T414" s="40" t="s">
        <v>130</v>
      </c>
      <c r="U414" s="49">
        <v>142101</v>
      </c>
      <c r="V414" s="40"/>
      <c r="W414" s="40">
        <v>24082</v>
      </c>
    </row>
    <row r="415" spans="1:23">
      <c r="A415" s="40">
        <v>2015</v>
      </c>
      <c r="B415" s="40" t="s">
        <v>102</v>
      </c>
      <c r="C415" s="40" t="s">
        <v>43</v>
      </c>
      <c r="D415" s="40" t="s">
        <v>130</v>
      </c>
      <c r="E415" s="40">
        <v>141661</v>
      </c>
      <c r="F415" s="40"/>
      <c r="G415" s="40">
        <v>24082</v>
      </c>
      <c r="Q415" s="39">
        <v>2015</v>
      </c>
      <c r="R415" s="39" t="s">
        <v>102</v>
      </c>
      <c r="S415" s="39" t="s">
        <v>43</v>
      </c>
      <c r="T415" s="39" t="s">
        <v>131</v>
      </c>
      <c r="U415" s="50">
        <v>116406</v>
      </c>
      <c r="V415" s="39"/>
      <c r="W415" s="39">
        <v>16655</v>
      </c>
    </row>
    <row r="416" spans="1:23">
      <c r="A416" s="39">
        <v>2015</v>
      </c>
      <c r="B416" s="39" t="s">
        <v>102</v>
      </c>
      <c r="C416" s="39" t="s">
        <v>43</v>
      </c>
      <c r="D416" s="39" t="s">
        <v>131</v>
      </c>
      <c r="E416" s="39">
        <v>118967</v>
      </c>
      <c r="F416" s="39"/>
      <c r="G416" s="39">
        <v>16655</v>
      </c>
      <c r="Q416" s="40">
        <v>2015</v>
      </c>
      <c r="R416" s="40" t="s">
        <v>102</v>
      </c>
      <c r="S416" s="40" t="s">
        <v>43</v>
      </c>
      <c r="T416" s="40" t="s">
        <v>132</v>
      </c>
      <c r="U416" s="49">
        <v>99734</v>
      </c>
      <c r="V416" s="40"/>
      <c r="W416" s="40">
        <v>13437</v>
      </c>
    </row>
    <row r="417" spans="1:23">
      <c r="A417" s="40">
        <v>2015</v>
      </c>
      <c r="B417" s="40" t="s">
        <v>102</v>
      </c>
      <c r="C417" s="40" t="s">
        <v>43</v>
      </c>
      <c r="D417" s="40" t="s">
        <v>132</v>
      </c>
      <c r="E417" s="40">
        <v>95985</v>
      </c>
      <c r="F417" s="40"/>
      <c r="G417" s="40">
        <v>13437</v>
      </c>
      <c r="Q417" s="39">
        <v>2015</v>
      </c>
      <c r="R417" s="39" t="s">
        <v>102</v>
      </c>
      <c r="S417" s="39" t="s">
        <v>43</v>
      </c>
      <c r="T417" s="39" t="s">
        <v>117</v>
      </c>
      <c r="U417" s="50">
        <v>87482</v>
      </c>
      <c r="V417" s="39"/>
      <c r="W417" s="39">
        <v>12428</v>
      </c>
    </row>
    <row r="418" spans="1:23">
      <c r="A418" s="39">
        <v>2015</v>
      </c>
      <c r="B418" s="39" t="s">
        <v>102</v>
      </c>
      <c r="C418" s="39" t="s">
        <v>43</v>
      </c>
      <c r="D418" s="39" t="s">
        <v>117</v>
      </c>
      <c r="E418" s="39">
        <v>88774</v>
      </c>
      <c r="F418" s="39"/>
      <c r="G418" s="39">
        <v>12428</v>
      </c>
      <c r="Q418" s="40">
        <v>2015</v>
      </c>
      <c r="R418" s="40" t="s">
        <v>102</v>
      </c>
      <c r="S418" s="40" t="s">
        <v>43</v>
      </c>
      <c r="T418" s="40" t="s">
        <v>133</v>
      </c>
      <c r="U418" s="49">
        <v>71540</v>
      </c>
      <c r="V418" s="40"/>
      <c r="W418" s="40">
        <v>10308</v>
      </c>
    </row>
    <row r="419" spans="1:23">
      <c r="A419" s="40">
        <v>2015</v>
      </c>
      <c r="B419" s="40" t="s">
        <v>102</v>
      </c>
      <c r="C419" s="40" t="s">
        <v>43</v>
      </c>
      <c r="D419" s="40" t="s">
        <v>133</v>
      </c>
      <c r="E419" s="40">
        <v>73635</v>
      </c>
      <c r="F419" s="40"/>
      <c r="G419" s="40">
        <v>10308</v>
      </c>
      <c r="Q419" s="39">
        <v>2015</v>
      </c>
      <c r="R419" s="39" t="s">
        <v>102</v>
      </c>
      <c r="S419" s="39" t="s">
        <v>43</v>
      </c>
      <c r="T419" s="39" t="s">
        <v>134</v>
      </c>
      <c r="U419" s="50">
        <v>60438</v>
      </c>
      <c r="V419" s="39"/>
      <c r="W419" s="39">
        <v>7683</v>
      </c>
    </row>
    <row r="420" spans="1:23">
      <c r="A420" s="39">
        <v>2015</v>
      </c>
      <c r="B420" s="39" t="s">
        <v>102</v>
      </c>
      <c r="C420" s="39" t="s">
        <v>43</v>
      </c>
      <c r="D420" s="39" t="s">
        <v>134</v>
      </c>
      <c r="E420" s="39">
        <v>54879</v>
      </c>
      <c r="F420" s="39"/>
      <c r="G420" s="39">
        <v>7683</v>
      </c>
      <c r="Q420" s="40">
        <v>2015</v>
      </c>
      <c r="R420" s="40" t="s">
        <v>102</v>
      </c>
      <c r="S420" s="40" t="s">
        <v>43</v>
      </c>
      <c r="T420" s="40" t="s">
        <v>135</v>
      </c>
      <c r="U420" s="49">
        <v>50793</v>
      </c>
      <c r="V420" s="40"/>
      <c r="W420" s="40">
        <v>6389</v>
      </c>
    </row>
    <row r="421" spans="1:23">
      <c r="A421" s="40">
        <v>2015</v>
      </c>
      <c r="B421" s="40" t="s">
        <v>102</v>
      </c>
      <c r="C421" s="40" t="s">
        <v>43</v>
      </c>
      <c r="D421" s="40" t="s">
        <v>135</v>
      </c>
      <c r="E421" s="40">
        <v>45640</v>
      </c>
      <c r="F421" s="40"/>
      <c r="G421" s="40">
        <v>6389</v>
      </c>
      <c r="Q421" s="39">
        <v>2015</v>
      </c>
      <c r="R421" s="39" t="s">
        <v>102</v>
      </c>
      <c r="S421" s="39" t="s">
        <v>43</v>
      </c>
      <c r="T421" s="39" t="s">
        <v>136</v>
      </c>
      <c r="U421" s="50">
        <v>40496</v>
      </c>
      <c r="V421" s="39"/>
      <c r="W421" s="39">
        <v>4949</v>
      </c>
    </row>
    <row r="422" spans="1:23">
      <c r="A422" s="39">
        <v>2015</v>
      </c>
      <c r="B422" s="39" t="s">
        <v>102</v>
      </c>
      <c r="C422" s="39" t="s">
        <v>43</v>
      </c>
      <c r="D422" s="39" t="s">
        <v>136</v>
      </c>
      <c r="E422" s="39">
        <v>35352</v>
      </c>
      <c r="F422" s="39"/>
      <c r="G422" s="39">
        <v>4949</v>
      </c>
      <c r="Q422" s="40">
        <v>2015</v>
      </c>
      <c r="R422" s="40" t="s">
        <v>102</v>
      </c>
      <c r="S422" s="40" t="s">
        <v>43</v>
      </c>
      <c r="T422" s="40" t="s">
        <v>137</v>
      </c>
      <c r="U422" s="49">
        <v>29854</v>
      </c>
      <c r="V422" s="40"/>
      <c r="W422" s="40">
        <v>3951</v>
      </c>
    </row>
    <row r="423" spans="1:23">
      <c r="A423" s="40">
        <v>2015</v>
      </c>
      <c r="B423" s="40" t="s">
        <v>102</v>
      </c>
      <c r="C423" s="40" t="s">
        <v>43</v>
      </c>
      <c r="D423" s="40" t="s">
        <v>137</v>
      </c>
      <c r="E423" s="40">
        <v>28228</v>
      </c>
      <c r="F423" s="40"/>
      <c r="G423" s="40">
        <v>3951</v>
      </c>
      <c r="Q423" s="39">
        <v>2015</v>
      </c>
      <c r="R423" s="39" t="s">
        <v>102</v>
      </c>
      <c r="S423" s="39" t="s">
        <v>43</v>
      </c>
      <c r="T423" s="39" t="s">
        <v>138</v>
      </c>
      <c r="U423" s="50">
        <v>18525</v>
      </c>
      <c r="V423" s="39"/>
      <c r="W423" s="39">
        <v>2733</v>
      </c>
    </row>
    <row r="424" spans="1:23">
      <c r="A424" s="39">
        <v>2015</v>
      </c>
      <c r="B424" s="39" t="s">
        <v>102</v>
      </c>
      <c r="C424" s="39" t="s">
        <v>43</v>
      </c>
      <c r="D424" s="39" t="s">
        <v>138</v>
      </c>
      <c r="E424" s="39">
        <v>19523</v>
      </c>
      <c r="F424" s="39"/>
      <c r="G424" s="39">
        <v>2733</v>
      </c>
      <c r="Q424" s="40">
        <v>2015</v>
      </c>
      <c r="R424" s="40" t="s">
        <v>102</v>
      </c>
      <c r="S424" s="40" t="s">
        <v>43</v>
      </c>
      <c r="T424" s="40" t="s">
        <v>139</v>
      </c>
      <c r="U424" s="49">
        <v>18942</v>
      </c>
      <c r="V424" s="40"/>
      <c r="W424" s="40">
        <v>2342</v>
      </c>
    </row>
    <row r="425" spans="1:23">
      <c r="A425" s="40">
        <v>2015</v>
      </c>
      <c r="B425" s="40" t="s">
        <v>102</v>
      </c>
      <c r="C425" s="40" t="s">
        <v>43</v>
      </c>
      <c r="D425" s="40" t="s">
        <v>139</v>
      </c>
      <c r="E425" s="40">
        <v>16729</v>
      </c>
      <c r="F425" s="40"/>
      <c r="G425" s="40">
        <v>2342</v>
      </c>
      <c r="Q425" s="39">
        <v>2015</v>
      </c>
      <c r="R425" s="39" t="s">
        <v>102</v>
      </c>
      <c r="S425" s="39" t="s">
        <v>43</v>
      </c>
      <c r="T425" s="39" t="s">
        <v>140</v>
      </c>
      <c r="U425" s="50">
        <v>14757</v>
      </c>
      <c r="V425" s="39"/>
      <c r="W425" s="39">
        <v>1873</v>
      </c>
    </row>
    <row r="426" spans="1:23">
      <c r="A426" s="39">
        <v>2015</v>
      </c>
      <c r="B426" s="39" t="s">
        <v>102</v>
      </c>
      <c r="C426" s="39" t="s">
        <v>43</v>
      </c>
      <c r="D426" s="39" t="s">
        <v>140</v>
      </c>
      <c r="E426" s="39">
        <v>13379</v>
      </c>
      <c r="F426" s="39"/>
      <c r="G426" s="39">
        <v>1873</v>
      </c>
      <c r="Q426" s="40">
        <v>2015</v>
      </c>
      <c r="R426" s="40" t="s">
        <v>102</v>
      </c>
      <c r="S426" s="40" t="s">
        <v>43</v>
      </c>
      <c r="T426" s="40" t="s">
        <v>141</v>
      </c>
      <c r="U426" s="49">
        <v>11311</v>
      </c>
      <c r="V426" s="40"/>
      <c r="W426" s="40">
        <v>1218</v>
      </c>
    </row>
    <row r="427" spans="1:23">
      <c r="A427" s="40">
        <v>2015</v>
      </c>
      <c r="B427" s="40" t="s">
        <v>102</v>
      </c>
      <c r="C427" s="40" t="s">
        <v>43</v>
      </c>
      <c r="D427" s="40" t="s">
        <v>141</v>
      </c>
      <c r="E427" s="40">
        <v>8707</v>
      </c>
      <c r="F427" s="40"/>
      <c r="G427" s="40">
        <v>1218</v>
      </c>
      <c r="Q427" s="39">
        <v>2015</v>
      </c>
      <c r="R427" s="39" t="s">
        <v>102</v>
      </c>
      <c r="S427" s="39" t="s">
        <v>43</v>
      </c>
      <c r="T427" s="39" t="s">
        <v>142</v>
      </c>
      <c r="U427" s="50">
        <v>8512</v>
      </c>
      <c r="V427" s="39"/>
      <c r="W427" s="39">
        <v>1117</v>
      </c>
    </row>
    <row r="428" spans="1:23">
      <c r="A428" s="39">
        <v>2015</v>
      </c>
      <c r="B428" s="39" t="s">
        <v>102</v>
      </c>
      <c r="C428" s="39" t="s">
        <v>43</v>
      </c>
      <c r="D428" s="39" t="s">
        <v>142</v>
      </c>
      <c r="E428" s="39">
        <v>7982</v>
      </c>
      <c r="F428" s="39"/>
      <c r="G428" s="39">
        <v>1117</v>
      </c>
      <c r="Q428" s="40">
        <v>2015</v>
      </c>
      <c r="R428" s="40" t="s">
        <v>102</v>
      </c>
      <c r="S428" s="40" t="s">
        <v>43</v>
      </c>
      <c r="T428" s="40" t="s">
        <v>143</v>
      </c>
      <c r="U428" s="49">
        <v>5604</v>
      </c>
      <c r="V428" s="40"/>
      <c r="W428" s="40">
        <v>751</v>
      </c>
    </row>
    <row r="429" spans="1:23">
      <c r="A429" s="40">
        <v>2015</v>
      </c>
      <c r="B429" s="40" t="s">
        <v>102</v>
      </c>
      <c r="C429" s="40" t="s">
        <v>43</v>
      </c>
      <c r="D429" s="40" t="s">
        <v>143</v>
      </c>
      <c r="E429" s="40">
        <v>5370</v>
      </c>
      <c r="F429" s="40"/>
      <c r="G429" s="40">
        <v>751</v>
      </c>
      <c r="Q429" s="39">
        <v>2015</v>
      </c>
      <c r="R429" s="39" t="s">
        <v>102</v>
      </c>
      <c r="S429" s="39" t="s">
        <v>43</v>
      </c>
      <c r="T429" s="39" t="s">
        <v>144</v>
      </c>
      <c r="U429" s="50">
        <v>3497</v>
      </c>
      <c r="V429" s="39"/>
      <c r="W429" s="39">
        <v>638</v>
      </c>
    </row>
    <row r="430" spans="1:23">
      <c r="A430" s="39">
        <v>2015</v>
      </c>
      <c r="B430" s="39" t="s">
        <v>102</v>
      </c>
      <c r="C430" s="39" t="s">
        <v>43</v>
      </c>
      <c r="D430" s="39" t="s">
        <v>144</v>
      </c>
      <c r="E430" s="39">
        <v>3756</v>
      </c>
      <c r="F430" s="39"/>
      <c r="G430" s="39">
        <v>638</v>
      </c>
      <c r="Q430" s="40">
        <v>2015</v>
      </c>
      <c r="R430" s="40" t="s">
        <v>102</v>
      </c>
      <c r="S430" s="40" t="s">
        <v>43</v>
      </c>
      <c r="T430" s="40" t="s">
        <v>148</v>
      </c>
      <c r="U430" s="49">
        <v>2676</v>
      </c>
      <c r="V430" s="40"/>
      <c r="W430" s="40">
        <v>747</v>
      </c>
    </row>
    <row r="431" spans="1:23">
      <c r="A431" s="40">
        <v>2015</v>
      </c>
      <c r="B431" s="40" t="s">
        <v>102</v>
      </c>
      <c r="C431" s="40" t="s">
        <v>43</v>
      </c>
      <c r="D431" s="40" t="s">
        <v>148</v>
      </c>
      <c r="E431" s="40">
        <v>4396</v>
      </c>
      <c r="F431" s="40"/>
      <c r="G431" s="40">
        <v>747</v>
      </c>
      <c r="Q431" s="39"/>
      <c r="R431" s="39"/>
      <c r="S431" s="39"/>
      <c r="T431" s="39"/>
      <c r="U431" s="39"/>
      <c r="V431" s="39"/>
      <c r="W431" s="39"/>
    </row>
    <row r="432" spans="1:23">
      <c r="A432" s="39"/>
      <c r="B432" s="39"/>
      <c r="C432" s="39"/>
      <c r="D432" s="39"/>
      <c r="E432" s="39"/>
      <c r="F432" s="39"/>
      <c r="G432" s="39"/>
      <c r="Q432" s="40"/>
      <c r="R432" s="40"/>
      <c r="S432" s="40"/>
      <c r="T432" s="40"/>
      <c r="U432" s="40"/>
      <c r="V432" s="40"/>
      <c r="W432" s="40"/>
    </row>
    <row r="433" spans="1:23">
      <c r="A433" s="40"/>
      <c r="B433" s="40"/>
      <c r="C433" s="40"/>
      <c r="D433" s="40"/>
      <c r="E433" s="40"/>
      <c r="F433" s="40"/>
      <c r="G433" s="40"/>
      <c r="Q433" s="39">
        <v>2015</v>
      </c>
      <c r="R433" s="39" t="s">
        <v>103</v>
      </c>
      <c r="S433" s="39" t="s">
        <v>43</v>
      </c>
      <c r="T433" s="39" t="s">
        <v>130</v>
      </c>
      <c r="U433" s="39">
        <v>192384</v>
      </c>
      <c r="V433" s="39"/>
      <c r="W433" s="39">
        <v>32705</v>
      </c>
    </row>
    <row r="434" spans="1:23">
      <c r="A434" s="39">
        <v>2015</v>
      </c>
      <c r="B434" s="39" t="s">
        <v>103</v>
      </c>
      <c r="C434" s="39" t="s">
        <v>43</v>
      </c>
      <c r="D434" s="39" t="s">
        <v>130</v>
      </c>
      <c r="E434" s="39">
        <v>192384</v>
      </c>
      <c r="F434" s="39"/>
      <c r="G434" s="39">
        <v>32705</v>
      </c>
      <c r="Q434" s="40">
        <v>2015</v>
      </c>
      <c r="R434" s="40" t="s">
        <v>103</v>
      </c>
      <c r="S434" s="40" t="s">
        <v>43</v>
      </c>
      <c r="T434" s="40" t="s">
        <v>131</v>
      </c>
      <c r="U434" s="40">
        <v>169548</v>
      </c>
      <c r="V434" s="40"/>
      <c r="W434" s="40">
        <v>23736</v>
      </c>
    </row>
    <row r="435" spans="1:23">
      <c r="A435" s="40">
        <v>2015</v>
      </c>
      <c r="B435" s="40" t="s">
        <v>103</v>
      </c>
      <c r="C435" s="40" t="s">
        <v>43</v>
      </c>
      <c r="D435" s="40" t="s">
        <v>131</v>
      </c>
      <c r="E435" s="40">
        <v>169548</v>
      </c>
      <c r="F435" s="40"/>
      <c r="G435" s="40">
        <v>23736</v>
      </c>
      <c r="Q435" s="39">
        <v>2015</v>
      </c>
      <c r="R435" s="39" t="s">
        <v>103</v>
      </c>
      <c r="S435" s="39" t="s">
        <v>43</v>
      </c>
      <c r="T435" s="39" t="s">
        <v>132</v>
      </c>
      <c r="U435" s="39">
        <v>156969</v>
      </c>
      <c r="V435" s="39"/>
      <c r="W435" s="39">
        <v>21975</v>
      </c>
    </row>
    <row r="436" spans="1:23">
      <c r="A436" s="39">
        <v>2015</v>
      </c>
      <c r="B436" s="39" t="s">
        <v>103</v>
      </c>
      <c r="C436" s="39" t="s">
        <v>43</v>
      </c>
      <c r="D436" s="39" t="s">
        <v>132</v>
      </c>
      <c r="E436" s="39">
        <v>156969</v>
      </c>
      <c r="F436" s="39"/>
      <c r="G436" s="39">
        <v>21975</v>
      </c>
      <c r="Q436" s="40">
        <v>2015</v>
      </c>
      <c r="R436" s="40" t="s">
        <v>103</v>
      </c>
      <c r="S436" s="40" t="s">
        <v>43</v>
      </c>
      <c r="T436" s="40" t="s">
        <v>117</v>
      </c>
      <c r="U436" s="40">
        <v>135388</v>
      </c>
      <c r="V436" s="40"/>
      <c r="W436" s="40">
        <v>18954</v>
      </c>
    </row>
    <row r="437" spans="1:23">
      <c r="A437" s="40">
        <v>2015</v>
      </c>
      <c r="B437" s="40" t="s">
        <v>103</v>
      </c>
      <c r="C437" s="40" t="s">
        <v>43</v>
      </c>
      <c r="D437" s="40" t="s">
        <v>117</v>
      </c>
      <c r="E437" s="40">
        <v>135388</v>
      </c>
      <c r="F437" s="40"/>
      <c r="G437" s="40">
        <v>18954</v>
      </c>
      <c r="Q437" s="39">
        <v>2015</v>
      </c>
      <c r="R437" s="39" t="s">
        <v>103</v>
      </c>
      <c r="S437" s="39" t="s">
        <v>43</v>
      </c>
      <c r="T437" s="39" t="s">
        <v>133</v>
      </c>
      <c r="U437" s="39">
        <v>126294</v>
      </c>
      <c r="V437" s="39"/>
      <c r="W437" s="39">
        <v>17681</v>
      </c>
    </row>
    <row r="438" spans="1:23">
      <c r="A438" s="39">
        <v>2015</v>
      </c>
      <c r="B438" s="39" t="s">
        <v>103</v>
      </c>
      <c r="C438" s="39" t="s">
        <v>43</v>
      </c>
      <c r="D438" s="39" t="s">
        <v>133</v>
      </c>
      <c r="E438" s="39">
        <v>126294</v>
      </c>
      <c r="F438" s="39"/>
      <c r="G438" s="39">
        <v>17681</v>
      </c>
      <c r="Q438" s="40">
        <v>2015</v>
      </c>
      <c r="R438" s="40" t="s">
        <v>103</v>
      </c>
      <c r="S438" s="40" t="s">
        <v>43</v>
      </c>
      <c r="T438" s="40" t="s">
        <v>134</v>
      </c>
      <c r="U438" s="40">
        <v>93170</v>
      </c>
      <c r="V438" s="40"/>
      <c r="W438" s="40">
        <v>13043</v>
      </c>
    </row>
    <row r="439" spans="1:23">
      <c r="A439" s="40">
        <v>2015</v>
      </c>
      <c r="B439" s="40" t="s">
        <v>103</v>
      </c>
      <c r="C439" s="40" t="s">
        <v>43</v>
      </c>
      <c r="D439" s="40" t="s">
        <v>134</v>
      </c>
      <c r="E439" s="40">
        <v>93170</v>
      </c>
      <c r="F439" s="40"/>
      <c r="G439" s="40">
        <v>13043</v>
      </c>
      <c r="Q439" s="39">
        <v>2015</v>
      </c>
      <c r="R439" s="39" t="s">
        <v>103</v>
      </c>
      <c r="S439" s="39" t="s">
        <v>43</v>
      </c>
      <c r="T439" s="39" t="s">
        <v>135</v>
      </c>
      <c r="U439" s="39">
        <v>79796</v>
      </c>
      <c r="V439" s="39"/>
      <c r="W439" s="39">
        <v>11171</v>
      </c>
    </row>
    <row r="440" spans="1:23">
      <c r="A440" s="39">
        <v>2015</v>
      </c>
      <c r="B440" s="39" t="s">
        <v>103</v>
      </c>
      <c r="C440" s="39" t="s">
        <v>43</v>
      </c>
      <c r="D440" s="39" t="s">
        <v>135</v>
      </c>
      <c r="E440" s="39">
        <v>79796</v>
      </c>
      <c r="F440" s="39"/>
      <c r="G440" s="39">
        <v>11171</v>
      </c>
      <c r="Q440" s="40">
        <v>2015</v>
      </c>
      <c r="R440" s="40" t="s">
        <v>103</v>
      </c>
      <c r="S440" s="40" t="s">
        <v>43</v>
      </c>
      <c r="T440" s="40" t="s">
        <v>136</v>
      </c>
      <c r="U440" s="40">
        <v>57949</v>
      </c>
      <c r="V440" s="40"/>
      <c r="W440" s="40">
        <v>8112</v>
      </c>
    </row>
    <row r="441" spans="1:23">
      <c r="A441" s="40">
        <v>2015</v>
      </c>
      <c r="B441" s="40" t="s">
        <v>103</v>
      </c>
      <c r="C441" s="40" t="s">
        <v>43</v>
      </c>
      <c r="D441" s="40" t="s">
        <v>136</v>
      </c>
      <c r="E441" s="40">
        <v>57949</v>
      </c>
      <c r="F441" s="40"/>
      <c r="G441" s="40">
        <v>8112</v>
      </c>
      <c r="Q441" s="39">
        <v>2015</v>
      </c>
      <c r="R441" s="39" t="s">
        <v>103</v>
      </c>
      <c r="S441" s="39" t="s">
        <v>43</v>
      </c>
      <c r="T441" s="39" t="s">
        <v>137</v>
      </c>
      <c r="U441" s="39">
        <v>45635</v>
      </c>
      <c r="V441" s="39"/>
      <c r="W441" s="39">
        <v>6388</v>
      </c>
    </row>
    <row r="442" spans="1:23">
      <c r="A442" s="39">
        <v>2015</v>
      </c>
      <c r="B442" s="39" t="s">
        <v>103</v>
      </c>
      <c r="C442" s="39" t="s">
        <v>43</v>
      </c>
      <c r="D442" s="39" t="s">
        <v>137</v>
      </c>
      <c r="E442" s="39">
        <v>45635</v>
      </c>
      <c r="F442" s="39"/>
      <c r="G442" s="39">
        <v>6388</v>
      </c>
      <c r="Q442" s="40">
        <v>2015</v>
      </c>
      <c r="R442" s="40" t="s">
        <v>103</v>
      </c>
      <c r="S442" s="40" t="s">
        <v>43</v>
      </c>
      <c r="T442" s="40" t="s">
        <v>138</v>
      </c>
      <c r="U442" s="40">
        <v>32010</v>
      </c>
      <c r="V442" s="40"/>
      <c r="W442" s="40">
        <v>4481</v>
      </c>
    </row>
    <row r="443" spans="1:23">
      <c r="A443" s="40">
        <v>2015</v>
      </c>
      <c r="B443" s="40" t="s">
        <v>103</v>
      </c>
      <c r="C443" s="40" t="s">
        <v>43</v>
      </c>
      <c r="D443" s="40" t="s">
        <v>138</v>
      </c>
      <c r="E443" s="40">
        <v>32010</v>
      </c>
      <c r="F443" s="40"/>
      <c r="G443" s="40">
        <v>4481</v>
      </c>
      <c r="Q443" s="39">
        <v>2015</v>
      </c>
      <c r="R443" s="39" t="s">
        <v>103</v>
      </c>
      <c r="S443" s="39" t="s">
        <v>43</v>
      </c>
      <c r="T443" s="39" t="s">
        <v>139</v>
      </c>
      <c r="U443" s="39">
        <v>28208</v>
      </c>
      <c r="V443" s="39"/>
      <c r="W443" s="39">
        <v>3949</v>
      </c>
    </row>
    <row r="444" spans="1:23">
      <c r="A444" s="39">
        <v>2015</v>
      </c>
      <c r="B444" s="39" t="s">
        <v>103</v>
      </c>
      <c r="C444" s="39" t="s">
        <v>43</v>
      </c>
      <c r="D444" s="39" t="s">
        <v>139</v>
      </c>
      <c r="E444" s="39">
        <v>28208</v>
      </c>
      <c r="F444" s="39"/>
      <c r="G444" s="39">
        <v>3949</v>
      </c>
      <c r="Q444" s="40">
        <v>2015</v>
      </c>
      <c r="R444" s="40" t="s">
        <v>103</v>
      </c>
      <c r="S444" s="40" t="s">
        <v>43</v>
      </c>
      <c r="T444" s="40" t="s">
        <v>140</v>
      </c>
      <c r="U444" s="40">
        <v>22892</v>
      </c>
      <c r="V444" s="40"/>
      <c r="W444" s="40">
        <v>3204</v>
      </c>
    </row>
    <row r="445" spans="1:23">
      <c r="A445" s="40">
        <v>2015</v>
      </c>
      <c r="B445" s="40" t="s">
        <v>103</v>
      </c>
      <c r="C445" s="40" t="s">
        <v>43</v>
      </c>
      <c r="D445" s="40" t="s">
        <v>140</v>
      </c>
      <c r="E445" s="40">
        <v>22892</v>
      </c>
      <c r="F445" s="40"/>
      <c r="G445" s="40">
        <v>3204</v>
      </c>
      <c r="Q445" s="39">
        <v>2015</v>
      </c>
      <c r="R445" s="39" t="s">
        <v>103</v>
      </c>
      <c r="S445" s="39" t="s">
        <v>43</v>
      </c>
      <c r="T445" s="39" t="s">
        <v>141</v>
      </c>
      <c r="U445" s="39">
        <v>14858</v>
      </c>
      <c r="V445" s="39"/>
      <c r="W445" s="39">
        <v>2080</v>
      </c>
    </row>
    <row r="446" spans="1:23">
      <c r="A446" s="39">
        <v>2015</v>
      </c>
      <c r="B446" s="39" t="s">
        <v>103</v>
      </c>
      <c r="C446" s="39" t="s">
        <v>43</v>
      </c>
      <c r="D446" s="39" t="s">
        <v>141</v>
      </c>
      <c r="E446" s="39">
        <v>14858</v>
      </c>
      <c r="F446" s="39"/>
      <c r="G446" s="39">
        <v>2080</v>
      </c>
      <c r="Q446" s="40">
        <v>2015</v>
      </c>
      <c r="R446" s="40" t="s">
        <v>103</v>
      </c>
      <c r="S446" s="40" t="s">
        <v>43</v>
      </c>
      <c r="T446" s="40" t="s">
        <v>142</v>
      </c>
      <c r="U446" s="40">
        <v>11176</v>
      </c>
      <c r="V446" s="40"/>
      <c r="W446" s="40">
        <v>1564</v>
      </c>
    </row>
    <row r="447" spans="1:23">
      <c r="A447" s="40">
        <v>2015</v>
      </c>
      <c r="B447" s="40" t="s">
        <v>103</v>
      </c>
      <c r="C447" s="40" t="s">
        <v>43</v>
      </c>
      <c r="D447" s="40" t="s">
        <v>142</v>
      </c>
      <c r="E447" s="40">
        <v>11176</v>
      </c>
      <c r="F447" s="40"/>
      <c r="G447" s="40">
        <v>1564</v>
      </c>
      <c r="Q447" s="39">
        <v>2015</v>
      </c>
      <c r="R447" s="39" t="s">
        <v>103</v>
      </c>
      <c r="S447" s="39" t="s">
        <v>43</v>
      </c>
      <c r="T447" s="39" t="s">
        <v>143</v>
      </c>
      <c r="U447" s="39">
        <v>7182</v>
      </c>
      <c r="V447" s="39"/>
      <c r="W447" s="39">
        <v>1005</v>
      </c>
    </row>
    <row r="448" spans="1:23">
      <c r="A448" s="39">
        <v>2015</v>
      </c>
      <c r="B448" s="39" t="s">
        <v>103</v>
      </c>
      <c r="C448" s="39" t="s">
        <v>43</v>
      </c>
      <c r="D448" s="39" t="s">
        <v>143</v>
      </c>
      <c r="E448" s="39">
        <v>7182</v>
      </c>
      <c r="F448" s="39"/>
      <c r="G448" s="39">
        <v>1005</v>
      </c>
      <c r="Q448" s="40">
        <v>2015</v>
      </c>
      <c r="R448" s="40" t="s">
        <v>103</v>
      </c>
      <c r="S448" s="40" t="s">
        <v>43</v>
      </c>
      <c r="T448" s="40" t="s">
        <v>144</v>
      </c>
      <c r="U448" s="40">
        <v>4594</v>
      </c>
      <c r="V448" s="40"/>
      <c r="W448" s="40">
        <v>780</v>
      </c>
    </row>
    <row r="449" spans="1:23">
      <c r="A449" s="40">
        <v>2015</v>
      </c>
      <c r="B449" s="40" t="s">
        <v>103</v>
      </c>
      <c r="C449" s="40" t="s">
        <v>43</v>
      </c>
      <c r="D449" s="40" t="s">
        <v>144</v>
      </c>
      <c r="E449" s="40">
        <v>4594</v>
      </c>
      <c r="F449" s="40"/>
      <c r="G449" s="40">
        <v>780</v>
      </c>
      <c r="Q449" s="39">
        <v>2015</v>
      </c>
      <c r="R449" s="39" t="s">
        <v>103</v>
      </c>
      <c r="S449" s="39" t="s">
        <v>43</v>
      </c>
      <c r="T449" s="39" t="s">
        <v>148</v>
      </c>
      <c r="U449" s="39">
        <v>4414</v>
      </c>
      <c r="V449" s="39"/>
      <c r="W449" s="39">
        <v>750</v>
      </c>
    </row>
    <row r="450" spans="1:23">
      <c r="A450" s="39">
        <v>2015</v>
      </c>
      <c r="B450" s="39" t="s">
        <v>103</v>
      </c>
      <c r="C450" s="39" t="s">
        <v>43</v>
      </c>
      <c r="D450" s="39" t="s">
        <v>148</v>
      </c>
      <c r="E450" s="39">
        <v>4414</v>
      </c>
      <c r="F450" s="39"/>
      <c r="G450" s="39">
        <v>750</v>
      </c>
      <c r="Q450" s="40"/>
      <c r="R450" s="40"/>
      <c r="S450" s="40"/>
      <c r="T450" s="40"/>
      <c r="U450" s="40"/>
      <c r="V450" s="40"/>
      <c r="W450" s="40"/>
    </row>
    <row r="451" spans="1:23">
      <c r="A451" s="40"/>
      <c r="B451" s="40"/>
      <c r="C451" s="40"/>
      <c r="D451" s="40"/>
      <c r="E451" s="40"/>
      <c r="F451" s="40"/>
      <c r="G451" s="40"/>
      <c r="Q451" s="39"/>
      <c r="R451" s="39"/>
      <c r="S451" s="39"/>
      <c r="T451" s="39"/>
      <c r="U451" s="39"/>
      <c r="V451" s="39"/>
      <c r="W451" s="39"/>
    </row>
    <row r="452" spans="1:23">
      <c r="A452" s="39"/>
      <c r="B452" s="39"/>
      <c r="C452" s="39"/>
      <c r="D452" s="39"/>
      <c r="E452" s="39"/>
      <c r="F452" s="39"/>
      <c r="G452" s="39"/>
      <c r="Q452" s="40">
        <v>2015</v>
      </c>
      <c r="R452" s="40" t="s">
        <v>104</v>
      </c>
      <c r="S452" s="40" t="s">
        <v>43</v>
      </c>
      <c r="T452" s="40" t="s">
        <v>130</v>
      </c>
      <c r="U452" s="40">
        <v>170078</v>
      </c>
      <c r="V452" s="40"/>
      <c r="W452" s="40">
        <v>28913</v>
      </c>
    </row>
    <row r="453" spans="1:23">
      <c r="A453" s="40">
        <v>2015</v>
      </c>
      <c r="B453" s="40" t="s">
        <v>104</v>
      </c>
      <c r="C453" s="40" t="s">
        <v>43</v>
      </c>
      <c r="D453" s="40" t="s">
        <v>130</v>
      </c>
      <c r="E453" s="40">
        <v>170078</v>
      </c>
      <c r="F453" s="40"/>
      <c r="G453" s="40">
        <v>28913</v>
      </c>
      <c r="Q453" s="39">
        <v>2015</v>
      </c>
      <c r="R453" s="39" t="s">
        <v>104</v>
      </c>
      <c r="S453" s="39" t="s">
        <v>43</v>
      </c>
      <c r="T453" s="39" t="s">
        <v>131</v>
      </c>
      <c r="U453" s="39">
        <v>137774</v>
      </c>
      <c r="V453" s="39"/>
      <c r="W453" s="39">
        <v>19288</v>
      </c>
    </row>
    <row r="454" spans="1:23">
      <c r="A454" s="39">
        <v>2015</v>
      </c>
      <c r="B454" s="39" t="s">
        <v>104</v>
      </c>
      <c r="C454" s="39" t="s">
        <v>43</v>
      </c>
      <c r="D454" s="39" t="s">
        <v>131</v>
      </c>
      <c r="E454" s="39">
        <v>137774</v>
      </c>
      <c r="F454" s="39"/>
      <c r="G454" s="39">
        <v>19288</v>
      </c>
      <c r="Q454" s="40">
        <v>2015</v>
      </c>
      <c r="R454" s="40" t="s">
        <v>104</v>
      </c>
      <c r="S454" s="40" t="s">
        <v>43</v>
      </c>
      <c r="T454" s="40" t="s">
        <v>132</v>
      </c>
      <c r="U454" s="40">
        <v>111183</v>
      </c>
      <c r="V454" s="40"/>
      <c r="W454" s="40">
        <v>15565</v>
      </c>
    </row>
    <row r="455" spans="1:23">
      <c r="A455" s="40">
        <v>2015</v>
      </c>
      <c r="B455" s="40" t="s">
        <v>104</v>
      </c>
      <c r="C455" s="40" t="s">
        <v>43</v>
      </c>
      <c r="D455" s="40" t="s">
        <v>132</v>
      </c>
      <c r="E455" s="40">
        <v>111183</v>
      </c>
      <c r="F455" s="40"/>
      <c r="G455" s="40">
        <v>15565</v>
      </c>
      <c r="Q455" s="39">
        <v>2015</v>
      </c>
      <c r="R455" s="39" t="s">
        <v>104</v>
      </c>
      <c r="S455" s="39" t="s">
        <v>43</v>
      </c>
      <c r="T455" s="39" t="s">
        <v>117</v>
      </c>
      <c r="U455" s="39">
        <v>101795</v>
      </c>
      <c r="V455" s="39"/>
      <c r="W455" s="39">
        <v>14251</v>
      </c>
    </row>
    <row r="456" spans="1:23">
      <c r="A456" s="39">
        <v>2015</v>
      </c>
      <c r="B456" s="39" t="s">
        <v>104</v>
      </c>
      <c r="C456" s="39" t="s">
        <v>43</v>
      </c>
      <c r="D456" s="39" t="s">
        <v>117</v>
      </c>
      <c r="E456" s="39">
        <v>101795</v>
      </c>
      <c r="F456" s="39"/>
      <c r="G456" s="39">
        <v>14251</v>
      </c>
      <c r="Q456" s="40">
        <v>2015</v>
      </c>
      <c r="R456" s="40" t="s">
        <v>104</v>
      </c>
      <c r="S456" s="40" t="s">
        <v>43</v>
      </c>
      <c r="T456" s="40" t="s">
        <v>133</v>
      </c>
      <c r="U456" s="40">
        <v>82724</v>
      </c>
      <c r="V456" s="40"/>
      <c r="W456" s="40">
        <v>11581</v>
      </c>
    </row>
    <row r="457" spans="1:23">
      <c r="A457" s="40">
        <v>2015</v>
      </c>
      <c r="B457" s="40" t="s">
        <v>104</v>
      </c>
      <c r="C457" s="40" t="s">
        <v>43</v>
      </c>
      <c r="D457" s="40" t="s">
        <v>133</v>
      </c>
      <c r="E457" s="40">
        <v>82724</v>
      </c>
      <c r="F457" s="40"/>
      <c r="G457" s="40">
        <v>11581</v>
      </c>
      <c r="Q457" s="39">
        <v>2015</v>
      </c>
      <c r="R457" s="39" t="s">
        <v>104</v>
      </c>
      <c r="S457" s="39" t="s">
        <v>43</v>
      </c>
      <c r="T457" s="39" t="s">
        <v>134</v>
      </c>
      <c r="U457" s="39">
        <v>67862</v>
      </c>
      <c r="V457" s="39"/>
      <c r="W457" s="39">
        <v>9500</v>
      </c>
    </row>
    <row r="458" spans="1:23">
      <c r="A458" s="39">
        <v>2015</v>
      </c>
      <c r="B458" s="39" t="s">
        <v>104</v>
      </c>
      <c r="C458" s="39" t="s">
        <v>43</v>
      </c>
      <c r="D458" s="39" t="s">
        <v>134</v>
      </c>
      <c r="E458" s="39">
        <v>67862</v>
      </c>
      <c r="F458" s="39"/>
      <c r="G458" s="39">
        <v>9500</v>
      </c>
      <c r="Q458" s="40">
        <v>2015</v>
      </c>
      <c r="R458" s="40" t="s">
        <v>104</v>
      </c>
      <c r="S458" s="40" t="s">
        <v>43</v>
      </c>
      <c r="T458" s="40" t="s">
        <v>135</v>
      </c>
      <c r="U458" s="40">
        <v>58171</v>
      </c>
      <c r="V458" s="40"/>
      <c r="W458" s="40">
        <v>8143</v>
      </c>
    </row>
    <row r="459" spans="1:23">
      <c r="A459" s="40">
        <v>2015</v>
      </c>
      <c r="B459" s="40" t="s">
        <v>104</v>
      </c>
      <c r="C459" s="40" t="s">
        <v>43</v>
      </c>
      <c r="D459" s="40" t="s">
        <v>135</v>
      </c>
      <c r="E459" s="40">
        <v>58171</v>
      </c>
      <c r="F459" s="40"/>
      <c r="G459" s="40">
        <v>8143</v>
      </c>
      <c r="Q459" s="39">
        <v>2015</v>
      </c>
      <c r="R459" s="39" t="s">
        <v>104</v>
      </c>
      <c r="S459" s="39" t="s">
        <v>43</v>
      </c>
      <c r="T459" s="39" t="s">
        <v>136</v>
      </c>
      <c r="U459" s="39">
        <v>42213</v>
      </c>
      <c r="V459" s="39"/>
      <c r="W459" s="39">
        <v>5909</v>
      </c>
    </row>
    <row r="460" spans="1:23">
      <c r="A460" s="39">
        <v>2015</v>
      </c>
      <c r="B460" s="39" t="s">
        <v>104</v>
      </c>
      <c r="C460" s="39" t="s">
        <v>43</v>
      </c>
      <c r="D460" s="39" t="s">
        <v>136</v>
      </c>
      <c r="E460" s="39">
        <v>42213</v>
      </c>
      <c r="F460" s="39"/>
      <c r="G460" s="39">
        <v>5909</v>
      </c>
      <c r="Q460" s="40">
        <v>2015</v>
      </c>
      <c r="R460" s="40" t="s">
        <v>104</v>
      </c>
      <c r="S460" s="40" t="s">
        <v>43</v>
      </c>
      <c r="T460" s="40" t="s">
        <v>137</v>
      </c>
      <c r="U460" s="40">
        <v>35169</v>
      </c>
      <c r="V460" s="40"/>
      <c r="W460" s="40">
        <v>4923</v>
      </c>
    </row>
    <row r="461" spans="1:23">
      <c r="A461" s="40">
        <v>2015</v>
      </c>
      <c r="B461" s="40" t="s">
        <v>104</v>
      </c>
      <c r="C461" s="40" t="s">
        <v>43</v>
      </c>
      <c r="D461" s="40" t="s">
        <v>137</v>
      </c>
      <c r="E461" s="40">
        <v>35169</v>
      </c>
      <c r="F461" s="40"/>
      <c r="G461" s="40">
        <v>4923</v>
      </c>
      <c r="Q461" s="39">
        <v>2015</v>
      </c>
      <c r="R461" s="39" t="s">
        <v>104</v>
      </c>
      <c r="S461" s="39" t="s">
        <v>43</v>
      </c>
      <c r="T461" s="39" t="s">
        <v>138</v>
      </c>
      <c r="U461" s="39">
        <v>24485</v>
      </c>
      <c r="V461" s="39"/>
      <c r="W461" s="39">
        <v>3427</v>
      </c>
    </row>
    <row r="462" spans="1:23">
      <c r="A462" s="39">
        <v>2015</v>
      </c>
      <c r="B462" s="39" t="s">
        <v>104</v>
      </c>
      <c r="C462" s="39" t="s">
        <v>43</v>
      </c>
      <c r="D462" s="39" t="s">
        <v>138</v>
      </c>
      <c r="E462" s="39">
        <v>24485</v>
      </c>
      <c r="F462" s="39"/>
      <c r="G462" s="39">
        <v>3427</v>
      </c>
      <c r="Q462" s="40">
        <v>2015</v>
      </c>
      <c r="R462" s="40" t="s">
        <v>104</v>
      </c>
      <c r="S462" s="40" t="s">
        <v>43</v>
      </c>
      <c r="T462" s="40" t="s">
        <v>139</v>
      </c>
      <c r="U462" s="40">
        <v>21129</v>
      </c>
      <c r="V462" s="40"/>
      <c r="W462" s="40">
        <v>2958</v>
      </c>
    </row>
    <row r="463" spans="1:23">
      <c r="A463" s="40">
        <v>2015</v>
      </c>
      <c r="B463" s="40" t="s">
        <v>104</v>
      </c>
      <c r="C463" s="40" t="s">
        <v>43</v>
      </c>
      <c r="D463" s="40" t="s">
        <v>139</v>
      </c>
      <c r="E463" s="40">
        <v>21129</v>
      </c>
      <c r="F463" s="40"/>
      <c r="G463" s="40">
        <v>2958</v>
      </c>
      <c r="Q463" s="39">
        <v>2015</v>
      </c>
      <c r="R463" s="39" t="s">
        <v>104</v>
      </c>
      <c r="S463" s="39" t="s">
        <v>43</v>
      </c>
      <c r="T463" s="39" t="s">
        <v>140</v>
      </c>
      <c r="U463" s="39">
        <v>16321</v>
      </c>
      <c r="V463" s="39"/>
      <c r="W463" s="39">
        <v>2284</v>
      </c>
    </row>
    <row r="464" spans="1:23">
      <c r="A464" s="39">
        <v>2015</v>
      </c>
      <c r="B464" s="39" t="s">
        <v>104</v>
      </c>
      <c r="C464" s="39" t="s">
        <v>43</v>
      </c>
      <c r="D464" s="39" t="s">
        <v>140</v>
      </c>
      <c r="E464" s="39">
        <v>16321</v>
      </c>
      <c r="F464" s="39"/>
      <c r="G464" s="39">
        <v>2284</v>
      </c>
      <c r="Q464" s="40">
        <v>2015</v>
      </c>
      <c r="R464" s="40" t="s">
        <v>104</v>
      </c>
      <c r="S464" s="40" t="s">
        <v>43</v>
      </c>
      <c r="T464" s="40" t="s">
        <v>141</v>
      </c>
      <c r="U464" s="40">
        <v>11303</v>
      </c>
      <c r="V464" s="40"/>
      <c r="W464" s="40">
        <v>1582</v>
      </c>
    </row>
    <row r="465" spans="1:23">
      <c r="A465" s="40">
        <v>2015</v>
      </c>
      <c r="B465" s="40" t="s">
        <v>104</v>
      </c>
      <c r="C465" s="40" t="s">
        <v>43</v>
      </c>
      <c r="D465" s="40" t="s">
        <v>141</v>
      </c>
      <c r="E465" s="40">
        <v>11303</v>
      </c>
      <c r="F465" s="40"/>
      <c r="G465" s="40">
        <v>1582</v>
      </c>
      <c r="Q465" s="39">
        <v>2015</v>
      </c>
      <c r="R465" s="39" t="s">
        <v>104</v>
      </c>
      <c r="S465" s="39" t="s">
        <v>43</v>
      </c>
      <c r="T465" s="39" t="s">
        <v>142</v>
      </c>
      <c r="U465" s="39">
        <v>11986</v>
      </c>
      <c r="V465" s="39"/>
      <c r="W465" s="39">
        <v>1678</v>
      </c>
    </row>
    <row r="466" spans="1:23">
      <c r="A466" s="39">
        <v>2015</v>
      </c>
      <c r="B466" s="39" t="s">
        <v>104</v>
      </c>
      <c r="C466" s="39" t="s">
        <v>43</v>
      </c>
      <c r="D466" s="39" t="s">
        <v>142</v>
      </c>
      <c r="E466" s="39">
        <v>11986</v>
      </c>
      <c r="F466" s="39"/>
      <c r="G466" s="39">
        <v>1678</v>
      </c>
      <c r="Q466" s="40">
        <v>2015</v>
      </c>
      <c r="R466" s="40" t="s">
        <v>104</v>
      </c>
      <c r="S466" s="40" t="s">
        <v>43</v>
      </c>
      <c r="T466" s="40" t="s">
        <v>143</v>
      </c>
      <c r="U466" s="40">
        <v>8741</v>
      </c>
      <c r="V466" s="40"/>
      <c r="W466" s="40">
        <v>1223</v>
      </c>
    </row>
    <row r="467" spans="1:23">
      <c r="A467" s="40">
        <v>2015</v>
      </c>
      <c r="B467" s="40" t="s">
        <v>104</v>
      </c>
      <c r="C467" s="40" t="s">
        <v>43</v>
      </c>
      <c r="D467" s="40" t="s">
        <v>143</v>
      </c>
      <c r="E467" s="40">
        <v>8741</v>
      </c>
      <c r="F467" s="40"/>
      <c r="G467" s="40">
        <v>1223</v>
      </c>
      <c r="Q467" s="39">
        <v>2015</v>
      </c>
      <c r="R467" s="39" t="s">
        <v>104</v>
      </c>
      <c r="S467" s="39" t="s">
        <v>43</v>
      </c>
      <c r="T467" s="39" t="s">
        <v>144</v>
      </c>
      <c r="U467" s="39">
        <v>6689</v>
      </c>
      <c r="V467" s="39"/>
      <c r="W467" s="39">
        <v>1137</v>
      </c>
    </row>
    <row r="468" spans="1:23">
      <c r="A468" s="39">
        <v>2015</v>
      </c>
      <c r="B468" s="39" t="s">
        <v>104</v>
      </c>
      <c r="C468" s="39" t="s">
        <v>43</v>
      </c>
      <c r="D468" s="39" t="s">
        <v>144</v>
      </c>
      <c r="E468" s="39">
        <v>6689</v>
      </c>
      <c r="F468" s="39"/>
      <c r="G468" s="39">
        <v>1137</v>
      </c>
      <c r="Q468" s="40">
        <v>2015</v>
      </c>
      <c r="R468" s="40" t="s">
        <v>104</v>
      </c>
      <c r="S468" s="40" t="s">
        <v>43</v>
      </c>
      <c r="T468" s="40" t="s">
        <v>148</v>
      </c>
      <c r="U468" s="40">
        <v>7981</v>
      </c>
      <c r="V468" s="40"/>
      <c r="W468" s="40">
        <v>1356</v>
      </c>
    </row>
    <row r="469" spans="1:23">
      <c r="A469" s="40">
        <v>2015</v>
      </c>
      <c r="B469" s="40" t="s">
        <v>104</v>
      </c>
      <c r="C469" s="40" t="s">
        <v>43</v>
      </c>
      <c r="D469" s="40" t="s">
        <v>148</v>
      </c>
      <c r="E469" s="40">
        <v>7981</v>
      </c>
      <c r="F469" s="40"/>
      <c r="G469" s="40">
        <v>1356</v>
      </c>
      <c r="Q469" s="39"/>
      <c r="R469" s="39"/>
      <c r="S469" s="39"/>
      <c r="T469" s="39"/>
      <c r="U469" s="39"/>
      <c r="V469" s="39"/>
      <c r="W469" s="39"/>
    </row>
    <row r="470" spans="1:23">
      <c r="A470" s="39"/>
      <c r="B470" s="39"/>
      <c r="C470" s="39"/>
      <c r="D470" s="39"/>
      <c r="E470" s="39"/>
      <c r="F470" s="39"/>
      <c r="G470" s="39"/>
      <c r="Q470" s="40"/>
      <c r="R470" s="40"/>
      <c r="S470" s="40"/>
      <c r="T470" s="40"/>
      <c r="U470" s="40"/>
      <c r="V470" s="40"/>
      <c r="W470" s="40"/>
    </row>
    <row r="471" spans="1:23">
      <c r="A471" s="40"/>
      <c r="B471" s="40"/>
      <c r="C471" s="40"/>
      <c r="D471" s="40"/>
      <c r="E471" s="40"/>
      <c r="F471" s="40"/>
      <c r="G471" s="40"/>
      <c r="Q471" s="39">
        <v>2015</v>
      </c>
      <c r="R471" s="39" t="s">
        <v>105</v>
      </c>
      <c r="S471" s="39" t="s">
        <v>43</v>
      </c>
      <c r="T471" s="39" t="s">
        <v>130</v>
      </c>
      <c r="U471" s="39">
        <v>112332</v>
      </c>
      <c r="V471" s="39"/>
      <c r="W471" s="39">
        <v>19096</v>
      </c>
    </row>
    <row r="472" spans="1:23">
      <c r="A472" s="39">
        <v>2015</v>
      </c>
      <c r="B472" s="39" t="s">
        <v>105</v>
      </c>
      <c r="C472" s="39" t="s">
        <v>43</v>
      </c>
      <c r="D472" s="39" t="s">
        <v>130</v>
      </c>
      <c r="E472" s="39">
        <v>112332</v>
      </c>
      <c r="F472" s="39"/>
      <c r="G472" s="39">
        <v>19096</v>
      </c>
      <c r="Q472" s="40">
        <v>2015</v>
      </c>
      <c r="R472" s="40" t="s">
        <v>105</v>
      </c>
      <c r="S472" s="40" t="s">
        <v>43</v>
      </c>
      <c r="T472" s="40" t="s">
        <v>131</v>
      </c>
      <c r="U472" s="40">
        <v>90976</v>
      </c>
      <c r="V472" s="40"/>
      <c r="W472" s="40">
        <v>12736</v>
      </c>
    </row>
    <row r="473" spans="1:23">
      <c r="A473" s="40">
        <v>2015</v>
      </c>
      <c r="B473" s="40" t="s">
        <v>105</v>
      </c>
      <c r="C473" s="40" t="s">
        <v>43</v>
      </c>
      <c r="D473" s="40" t="s">
        <v>131</v>
      </c>
      <c r="E473" s="40">
        <v>90976</v>
      </c>
      <c r="F473" s="40"/>
      <c r="G473" s="40">
        <v>12736</v>
      </c>
      <c r="Q473" s="39">
        <v>2015</v>
      </c>
      <c r="R473" s="39" t="s">
        <v>105</v>
      </c>
      <c r="S473" s="39" t="s">
        <v>43</v>
      </c>
      <c r="T473" s="39" t="s">
        <v>132</v>
      </c>
      <c r="U473" s="39">
        <v>68643</v>
      </c>
      <c r="V473" s="39"/>
      <c r="W473" s="39">
        <v>9610</v>
      </c>
    </row>
    <row r="474" spans="1:23">
      <c r="A474" s="39">
        <v>2015</v>
      </c>
      <c r="B474" s="39" t="s">
        <v>105</v>
      </c>
      <c r="C474" s="39" t="s">
        <v>43</v>
      </c>
      <c r="D474" s="39" t="s">
        <v>132</v>
      </c>
      <c r="E474" s="39">
        <v>68643</v>
      </c>
      <c r="F474" s="39"/>
      <c r="G474" s="39">
        <v>9610</v>
      </c>
      <c r="Q474" s="40">
        <v>2015</v>
      </c>
      <c r="R474" s="40" t="s">
        <v>105</v>
      </c>
      <c r="S474" s="40" t="s">
        <v>43</v>
      </c>
      <c r="T474" s="40" t="s">
        <v>117</v>
      </c>
      <c r="U474" s="40">
        <v>62539</v>
      </c>
      <c r="V474" s="40"/>
      <c r="W474" s="40">
        <v>8755</v>
      </c>
    </row>
    <row r="475" spans="1:23">
      <c r="A475" s="40">
        <v>2015</v>
      </c>
      <c r="B475" s="40" t="s">
        <v>105</v>
      </c>
      <c r="C475" s="40" t="s">
        <v>43</v>
      </c>
      <c r="D475" s="40" t="s">
        <v>117</v>
      </c>
      <c r="E475" s="40">
        <v>62539</v>
      </c>
      <c r="F475" s="40"/>
      <c r="G475" s="40">
        <v>8755</v>
      </c>
      <c r="Q475" s="39">
        <v>2015</v>
      </c>
      <c r="R475" s="39" t="s">
        <v>105</v>
      </c>
      <c r="S475" s="39" t="s">
        <v>43</v>
      </c>
      <c r="T475" s="39" t="s">
        <v>133</v>
      </c>
      <c r="U475" s="39">
        <v>50052</v>
      </c>
      <c r="V475" s="39"/>
      <c r="W475" s="39">
        <v>7007</v>
      </c>
    </row>
    <row r="476" spans="1:23">
      <c r="A476" s="39">
        <v>2015</v>
      </c>
      <c r="B476" s="39" t="s">
        <v>105</v>
      </c>
      <c r="C476" s="39" t="s">
        <v>43</v>
      </c>
      <c r="D476" s="39" t="s">
        <v>133</v>
      </c>
      <c r="E476" s="39">
        <v>50052</v>
      </c>
      <c r="F476" s="39"/>
      <c r="G476" s="39">
        <v>7007</v>
      </c>
      <c r="Q476" s="40">
        <v>2015</v>
      </c>
      <c r="R476" s="40" t="s">
        <v>105</v>
      </c>
      <c r="S476" s="40" t="s">
        <v>43</v>
      </c>
      <c r="T476" s="40" t="s">
        <v>134</v>
      </c>
      <c r="U476" s="40">
        <v>39209</v>
      </c>
      <c r="V476" s="40"/>
      <c r="W476" s="40">
        <v>5489</v>
      </c>
    </row>
    <row r="477" spans="1:23">
      <c r="A477" s="40">
        <v>2015</v>
      </c>
      <c r="B477" s="40" t="s">
        <v>105</v>
      </c>
      <c r="C477" s="40" t="s">
        <v>43</v>
      </c>
      <c r="D477" s="40" t="s">
        <v>134</v>
      </c>
      <c r="E477" s="40">
        <v>39209</v>
      </c>
      <c r="F477" s="40"/>
      <c r="G477" s="40">
        <v>5489</v>
      </c>
      <c r="Q477" s="39">
        <v>2015</v>
      </c>
      <c r="R477" s="39" t="s">
        <v>105</v>
      </c>
      <c r="S477" s="39" t="s">
        <v>43</v>
      </c>
      <c r="T477" s="39" t="s">
        <v>135</v>
      </c>
      <c r="U477" s="39">
        <v>35637</v>
      </c>
      <c r="V477" s="39"/>
      <c r="W477" s="39">
        <v>4989</v>
      </c>
    </row>
    <row r="478" spans="1:23">
      <c r="A478" s="39">
        <v>2015</v>
      </c>
      <c r="B478" s="39" t="s">
        <v>105</v>
      </c>
      <c r="C478" s="39" t="s">
        <v>43</v>
      </c>
      <c r="D478" s="39" t="s">
        <v>135</v>
      </c>
      <c r="E478" s="39">
        <v>35637</v>
      </c>
      <c r="F478" s="39"/>
      <c r="G478" s="39">
        <v>4989</v>
      </c>
      <c r="Q478" s="40">
        <v>2015</v>
      </c>
      <c r="R478" s="40" t="s">
        <v>105</v>
      </c>
      <c r="S478" s="40" t="s">
        <v>43</v>
      </c>
      <c r="T478" s="40" t="s">
        <v>136</v>
      </c>
      <c r="U478" s="40">
        <v>27101</v>
      </c>
      <c r="V478" s="40"/>
      <c r="W478" s="40">
        <v>3794</v>
      </c>
    </row>
    <row r="479" spans="1:23">
      <c r="A479" s="40">
        <v>2015</v>
      </c>
      <c r="B479" s="40" t="s">
        <v>105</v>
      </c>
      <c r="C479" s="40" t="s">
        <v>43</v>
      </c>
      <c r="D479" s="40" t="s">
        <v>136</v>
      </c>
      <c r="E479" s="40">
        <v>27101</v>
      </c>
      <c r="F479" s="40"/>
      <c r="G479" s="40">
        <v>3794</v>
      </c>
      <c r="Q479" s="39">
        <v>2015</v>
      </c>
      <c r="R479" s="39" t="s">
        <v>105</v>
      </c>
      <c r="S479" s="39" t="s">
        <v>43</v>
      </c>
      <c r="T479" s="39" t="s">
        <v>137</v>
      </c>
      <c r="U479" s="39">
        <v>22484</v>
      </c>
      <c r="V479" s="39"/>
      <c r="W479" s="39">
        <v>3147</v>
      </c>
    </row>
    <row r="480" spans="1:23">
      <c r="A480" s="39">
        <v>2015</v>
      </c>
      <c r="B480" s="39" t="s">
        <v>105</v>
      </c>
      <c r="C480" s="39" t="s">
        <v>43</v>
      </c>
      <c r="D480" s="39" t="s">
        <v>137</v>
      </c>
      <c r="E480" s="39">
        <v>22484</v>
      </c>
      <c r="F480" s="39"/>
      <c r="G480" s="39">
        <v>3147</v>
      </c>
      <c r="Q480" s="40">
        <v>2015</v>
      </c>
      <c r="R480" s="40" t="s">
        <v>105</v>
      </c>
      <c r="S480" s="40" t="s">
        <v>43</v>
      </c>
      <c r="T480" s="40" t="s">
        <v>138</v>
      </c>
      <c r="U480" s="40">
        <v>16284</v>
      </c>
      <c r="V480" s="40"/>
      <c r="W480" s="40">
        <v>2279</v>
      </c>
    </row>
    <row r="481" spans="1:23">
      <c r="A481" s="40">
        <v>2015</v>
      </c>
      <c r="B481" s="40" t="s">
        <v>105</v>
      </c>
      <c r="C481" s="40" t="s">
        <v>43</v>
      </c>
      <c r="D481" s="40" t="s">
        <v>138</v>
      </c>
      <c r="E481" s="40">
        <v>16284</v>
      </c>
      <c r="F481" s="40"/>
      <c r="G481" s="40">
        <v>2279</v>
      </c>
      <c r="Q481" s="39">
        <v>2015</v>
      </c>
      <c r="R481" s="39" t="s">
        <v>105</v>
      </c>
      <c r="S481" s="39" t="s">
        <v>43</v>
      </c>
      <c r="T481" s="39" t="s">
        <v>139</v>
      </c>
      <c r="U481" s="39">
        <v>13613</v>
      </c>
      <c r="V481" s="39"/>
      <c r="W481" s="39">
        <v>1905</v>
      </c>
    </row>
    <row r="482" spans="1:23">
      <c r="A482" s="39">
        <v>2015</v>
      </c>
      <c r="B482" s="39" t="s">
        <v>105</v>
      </c>
      <c r="C482" s="39" t="s">
        <v>43</v>
      </c>
      <c r="D482" s="39" t="s">
        <v>139</v>
      </c>
      <c r="E482" s="39">
        <v>13613</v>
      </c>
      <c r="F482" s="39"/>
      <c r="G482" s="39">
        <v>1905</v>
      </c>
      <c r="Q482" s="40">
        <v>2015</v>
      </c>
      <c r="R482" s="40" t="s">
        <v>105</v>
      </c>
      <c r="S482" s="40" t="s">
        <v>43</v>
      </c>
      <c r="T482" s="40" t="s">
        <v>140</v>
      </c>
      <c r="U482" s="40">
        <v>10838</v>
      </c>
      <c r="V482" s="40"/>
      <c r="W482" s="40">
        <v>1517</v>
      </c>
    </row>
    <row r="483" spans="1:23">
      <c r="A483" s="40">
        <v>2015</v>
      </c>
      <c r="B483" s="40" t="s">
        <v>105</v>
      </c>
      <c r="C483" s="40" t="s">
        <v>43</v>
      </c>
      <c r="D483" s="40" t="s">
        <v>140</v>
      </c>
      <c r="E483" s="40">
        <v>10838</v>
      </c>
      <c r="F483" s="40"/>
      <c r="G483" s="40">
        <v>1517</v>
      </c>
      <c r="Q483" s="39">
        <v>2015</v>
      </c>
      <c r="R483" s="39" t="s">
        <v>105</v>
      </c>
      <c r="S483" s="39" t="s">
        <v>43</v>
      </c>
      <c r="T483" s="39" t="s">
        <v>141</v>
      </c>
      <c r="U483" s="39">
        <v>7366</v>
      </c>
      <c r="V483" s="39"/>
      <c r="W483" s="39">
        <v>1031</v>
      </c>
    </row>
    <row r="484" spans="1:23">
      <c r="A484" s="39">
        <v>2015</v>
      </c>
      <c r="B484" s="39" t="s">
        <v>105</v>
      </c>
      <c r="C484" s="39" t="s">
        <v>43</v>
      </c>
      <c r="D484" s="39" t="s">
        <v>141</v>
      </c>
      <c r="E484" s="39">
        <v>7366</v>
      </c>
      <c r="F484" s="39"/>
      <c r="G484" s="39">
        <v>1031</v>
      </c>
      <c r="Q484" s="40">
        <v>2015</v>
      </c>
      <c r="R484" s="40" t="s">
        <v>105</v>
      </c>
      <c r="S484" s="40" t="s">
        <v>43</v>
      </c>
      <c r="T484" s="40" t="s">
        <v>142</v>
      </c>
      <c r="U484" s="40">
        <v>6657</v>
      </c>
      <c r="V484" s="40"/>
      <c r="W484" s="40">
        <v>931</v>
      </c>
    </row>
    <row r="485" spans="1:23">
      <c r="A485" s="40">
        <v>2015</v>
      </c>
      <c r="B485" s="40" t="s">
        <v>105</v>
      </c>
      <c r="C485" s="40" t="s">
        <v>43</v>
      </c>
      <c r="D485" s="40" t="s">
        <v>142</v>
      </c>
      <c r="E485" s="40">
        <v>6657</v>
      </c>
      <c r="F485" s="40"/>
      <c r="G485" s="40">
        <v>931</v>
      </c>
      <c r="Q485" s="39">
        <v>2015</v>
      </c>
      <c r="R485" s="39" t="s">
        <v>105</v>
      </c>
      <c r="S485" s="39" t="s">
        <v>43</v>
      </c>
      <c r="T485" s="39" t="s">
        <v>143</v>
      </c>
      <c r="U485" s="39">
        <v>4304</v>
      </c>
      <c r="V485" s="39"/>
      <c r="W485" s="39">
        <v>602</v>
      </c>
    </row>
    <row r="486" spans="1:23">
      <c r="A486" s="39">
        <v>2015</v>
      </c>
      <c r="B486" s="39" t="s">
        <v>105</v>
      </c>
      <c r="C486" s="39" t="s">
        <v>43</v>
      </c>
      <c r="D486" s="39" t="s">
        <v>143</v>
      </c>
      <c r="E486" s="39">
        <v>4304</v>
      </c>
      <c r="F486" s="39"/>
      <c r="G486" s="39">
        <v>602</v>
      </c>
      <c r="Q486" s="40">
        <v>2015</v>
      </c>
      <c r="R486" s="40" t="s">
        <v>105</v>
      </c>
      <c r="S486" s="40" t="s">
        <v>43</v>
      </c>
      <c r="T486" s="40" t="s">
        <v>144</v>
      </c>
      <c r="U486" s="40">
        <v>2700</v>
      </c>
      <c r="V486" s="40"/>
      <c r="W486" s="40">
        <v>459</v>
      </c>
    </row>
    <row r="487" spans="1:23">
      <c r="A487" s="40">
        <v>2015</v>
      </c>
      <c r="B487" s="40" t="s">
        <v>105</v>
      </c>
      <c r="C487" s="40" t="s">
        <v>43</v>
      </c>
      <c r="D487" s="40" t="s">
        <v>144</v>
      </c>
      <c r="E487" s="40">
        <v>2700</v>
      </c>
      <c r="F487" s="40"/>
      <c r="G487" s="40">
        <v>459</v>
      </c>
      <c r="Q487" s="39">
        <v>2015</v>
      </c>
      <c r="R487" s="39" t="s">
        <v>105</v>
      </c>
      <c r="S487" s="39" t="s">
        <v>43</v>
      </c>
      <c r="T487" s="39" t="s">
        <v>148</v>
      </c>
      <c r="U487" s="39">
        <v>2528</v>
      </c>
      <c r="V487" s="39"/>
      <c r="W487" s="39">
        <v>429</v>
      </c>
    </row>
    <row r="488" spans="1:23">
      <c r="A488" s="39">
        <v>2015</v>
      </c>
      <c r="B488" s="39" t="s">
        <v>105</v>
      </c>
      <c r="C488" s="39" t="s">
        <v>43</v>
      </c>
      <c r="D488" s="39" t="s">
        <v>148</v>
      </c>
      <c r="E488" s="39">
        <v>2528</v>
      </c>
      <c r="F488" s="39"/>
      <c r="G488" s="39">
        <v>429</v>
      </c>
      <c r="Q488" s="40"/>
      <c r="R488" s="40"/>
      <c r="S488" s="40"/>
      <c r="T488" s="40"/>
      <c r="U488" s="40"/>
      <c r="V488" s="40"/>
      <c r="W488" s="40"/>
    </row>
    <row r="489" spans="1:23">
      <c r="A489" s="40"/>
      <c r="B489" s="40"/>
      <c r="C489" s="40"/>
      <c r="D489" s="40"/>
      <c r="E489" s="40"/>
      <c r="F489" s="40"/>
      <c r="G489" s="40"/>
      <c r="Q489" s="39"/>
      <c r="R489" s="39"/>
      <c r="S489" s="39"/>
      <c r="T489" s="39"/>
      <c r="U489" s="39"/>
      <c r="V489" s="39"/>
      <c r="W489" s="39"/>
    </row>
    <row r="490" spans="1:23">
      <c r="A490" s="39"/>
      <c r="B490" s="39"/>
      <c r="C490" s="39"/>
      <c r="D490" s="39"/>
      <c r="E490" s="39"/>
      <c r="F490" s="39"/>
      <c r="G490" s="39"/>
      <c r="Q490" s="40">
        <v>2015</v>
      </c>
      <c r="R490" s="40" t="s">
        <v>106</v>
      </c>
      <c r="S490" s="40" t="s">
        <v>43</v>
      </c>
      <c r="T490" s="40" t="s">
        <v>130</v>
      </c>
      <c r="U490" s="40">
        <v>228540</v>
      </c>
      <c r="V490" s="40"/>
      <c r="W490" s="40">
        <v>38851</v>
      </c>
    </row>
    <row r="491" spans="1:23">
      <c r="A491" s="40">
        <v>2015</v>
      </c>
      <c r="B491" s="40" t="s">
        <v>106</v>
      </c>
      <c r="C491" s="40" t="s">
        <v>43</v>
      </c>
      <c r="D491" s="40" t="s">
        <v>130</v>
      </c>
      <c r="E491" s="40">
        <v>228540</v>
      </c>
      <c r="F491" s="40"/>
      <c r="G491" s="40">
        <v>38851</v>
      </c>
      <c r="Q491" s="39">
        <v>2015</v>
      </c>
      <c r="R491" s="39" t="s">
        <v>106</v>
      </c>
      <c r="S491" s="39" t="s">
        <v>43</v>
      </c>
      <c r="T491" s="39" t="s">
        <v>131</v>
      </c>
      <c r="U491" s="39">
        <v>184604</v>
      </c>
      <c r="V491" s="39"/>
      <c r="W491" s="39">
        <v>25844</v>
      </c>
    </row>
    <row r="492" spans="1:23">
      <c r="A492" s="39">
        <v>2015</v>
      </c>
      <c r="B492" s="39" t="s">
        <v>106</v>
      </c>
      <c r="C492" s="39" t="s">
        <v>43</v>
      </c>
      <c r="D492" s="39" t="s">
        <v>131</v>
      </c>
      <c r="E492" s="39">
        <v>184604</v>
      </c>
      <c r="F492" s="39"/>
      <c r="G492" s="39">
        <v>25844</v>
      </c>
      <c r="Q492" s="40">
        <v>2015</v>
      </c>
      <c r="R492" s="40" t="s">
        <v>106</v>
      </c>
      <c r="S492" s="40" t="s">
        <v>43</v>
      </c>
      <c r="T492" s="40" t="s">
        <v>132</v>
      </c>
      <c r="U492" s="40">
        <v>160144</v>
      </c>
      <c r="V492" s="40"/>
      <c r="W492" s="40">
        <v>22420</v>
      </c>
    </row>
    <row r="493" spans="1:23">
      <c r="A493" s="40">
        <v>2015</v>
      </c>
      <c r="B493" s="40" t="s">
        <v>106</v>
      </c>
      <c r="C493" s="40" t="s">
        <v>43</v>
      </c>
      <c r="D493" s="40" t="s">
        <v>132</v>
      </c>
      <c r="E493" s="40">
        <v>160144</v>
      </c>
      <c r="F493" s="40"/>
      <c r="G493" s="40">
        <v>22420</v>
      </c>
      <c r="Q493" s="39">
        <v>2015</v>
      </c>
      <c r="R493" s="39" t="s">
        <v>106</v>
      </c>
      <c r="S493" s="39" t="s">
        <v>43</v>
      </c>
      <c r="T493" s="39" t="s">
        <v>117</v>
      </c>
      <c r="U493" s="39">
        <v>156329</v>
      </c>
      <c r="V493" s="39"/>
      <c r="W493" s="39">
        <v>21886</v>
      </c>
    </row>
    <row r="494" spans="1:23">
      <c r="A494" s="39">
        <v>2015</v>
      </c>
      <c r="B494" s="39" t="s">
        <v>106</v>
      </c>
      <c r="C494" s="39" t="s">
        <v>43</v>
      </c>
      <c r="D494" s="39" t="s">
        <v>117</v>
      </c>
      <c r="E494" s="39">
        <v>156329</v>
      </c>
      <c r="F494" s="39"/>
      <c r="G494" s="39">
        <v>21886</v>
      </c>
      <c r="Q494" s="40">
        <v>2015</v>
      </c>
      <c r="R494" s="40" t="s">
        <v>106</v>
      </c>
      <c r="S494" s="40" t="s">
        <v>43</v>
      </c>
      <c r="T494" s="40" t="s">
        <v>133</v>
      </c>
      <c r="U494" s="40">
        <v>149405</v>
      </c>
      <c r="V494" s="40"/>
      <c r="W494" s="40">
        <v>20916</v>
      </c>
    </row>
    <row r="495" spans="1:23">
      <c r="A495" s="40">
        <v>2015</v>
      </c>
      <c r="B495" s="40" t="s">
        <v>106</v>
      </c>
      <c r="C495" s="40" t="s">
        <v>43</v>
      </c>
      <c r="D495" s="40" t="s">
        <v>133</v>
      </c>
      <c r="E495" s="40">
        <v>149405</v>
      </c>
      <c r="F495" s="40"/>
      <c r="G495" s="40">
        <v>20916</v>
      </c>
      <c r="Q495" s="39">
        <v>2015</v>
      </c>
      <c r="R495" s="39" t="s">
        <v>106</v>
      </c>
      <c r="S495" s="39" t="s">
        <v>43</v>
      </c>
      <c r="T495" s="39" t="s">
        <v>134</v>
      </c>
      <c r="U495" s="39">
        <v>139115</v>
      </c>
      <c r="V495" s="39"/>
      <c r="W495" s="39">
        <v>19476</v>
      </c>
    </row>
    <row r="496" spans="1:23">
      <c r="A496" s="39">
        <v>2015</v>
      </c>
      <c r="B496" s="39" t="s">
        <v>106</v>
      </c>
      <c r="C496" s="39" t="s">
        <v>43</v>
      </c>
      <c r="D496" s="39" t="s">
        <v>134</v>
      </c>
      <c r="E496" s="39">
        <v>139115</v>
      </c>
      <c r="F496" s="39"/>
      <c r="G496" s="39">
        <v>19476</v>
      </c>
      <c r="Q496" s="40">
        <v>2015</v>
      </c>
      <c r="R496" s="40" t="s">
        <v>106</v>
      </c>
      <c r="S496" s="40" t="s">
        <v>43</v>
      </c>
      <c r="T496" s="40" t="s">
        <v>135</v>
      </c>
      <c r="U496" s="40">
        <v>119793</v>
      </c>
      <c r="V496" s="40"/>
      <c r="W496" s="40">
        <v>16771</v>
      </c>
    </row>
    <row r="497" spans="1:23">
      <c r="A497" s="40">
        <v>2015</v>
      </c>
      <c r="B497" s="40" t="s">
        <v>106</v>
      </c>
      <c r="C497" s="40" t="s">
        <v>43</v>
      </c>
      <c r="D497" s="40" t="s">
        <v>135</v>
      </c>
      <c r="E497" s="40">
        <v>119793</v>
      </c>
      <c r="F497" s="40"/>
      <c r="G497" s="40">
        <v>16771</v>
      </c>
      <c r="Q497" s="39">
        <v>2015</v>
      </c>
      <c r="R497" s="39" t="s">
        <v>106</v>
      </c>
      <c r="S497" s="39" t="s">
        <v>43</v>
      </c>
      <c r="T497" s="39" t="s">
        <v>136</v>
      </c>
      <c r="U497" s="39">
        <v>85569</v>
      </c>
      <c r="V497" s="39"/>
      <c r="W497" s="39">
        <v>11979</v>
      </c>
    </row>
    <row r="498" spans="1:23">
      <c r="A498" s="39">
        <v>2015</v>
      </c>
      <c r="B498" s="39" t="s">
        <v>106</v>
      </c>
      <c r="C498" s="39" t="s">
        <v>43</v>
      </c>
      <c r="D498" s="39" t="s">
        <v>136</v>
      </c>
      <c r="E498" s="39">
        <v>85569</v>
      </c>
      <c r="F498" s="39"/>
      <c r="G498" s="39">
        <v>11979</v>
      </c>
      <c r="Q498" s="40">
        <v>2015</v>
      </c>
      <c r="R498" s="40" t="s">
        <v>106</v>
      </c>
      <c r="S498" s="40" t="s">
        <v>43</v>
      </c>
      <c r="T498" s="40" t="s">
        <v>137</v>
      </c>
      <c r="U498" s="40">
        <v>59067</v>
      </c>
      <c r="V498" s="40"/>
      <c r="W498" s="40">
        <v>8269</v>
      </c>
    </row>
    <row r="499" spans="1:23">
      <c r="A499" s="40">
        <v>2015</v>
      </c>
      <c r="B499" s="40" t="s">
        <v>106</v>
      </c>
      <c r="C499" s="40" t="s">
        <v>43</v>
      </c>
      <c r="D499" s="40" t="s">
        <v>137</v>
      </c>
      <c r="E499" s="40">
        <v>59067</v>
      </c>
      <c r="F499" s="40"/>
      <c r="G499" s="40">
        <v>8269</v>
      </c>
      <c r="Q499" s="39">
        <v>2015</v>
      </c>
      <c r="R499" s="39" t="s">
        <v>106</v>
      </c>
      <c r="S499" s="39" t="s">
        <v>43</v>
      </c>
      <c r="T499" s="39" t="s">
        <v>138</v>
      </c>
      <c r="U499" s="39">
        <v>35212</v>
      </c>
      <c r="V499" s="39"/>
      <c r="W499" s="39">
        <v>4929</v>
      </c>
    </row>
    <row r="500" spans="1:23">
      <c r="A500" s="39">
        <v>2015</v>
      </c>
      <c r="B500" s="39" t="s">
        <v>106</v>
      </c>
      <c r="C500" s="39" t="s">
        <v>43</v>
      </c>
      <c r="D500" s="39" t="s">
        <v>138</v>
      </c>
      <c r="E500" s="39">
        <v>35212</v>
      </c>
      <c r="F500" s="39"/>
      <c r="G500" s="39">
        <v>4929</v>
      </c>
      <c r="Q500" s="40">
        <v>2015</v>
      </c>
      <c r="R500" s="40" t="s">
        <v>106</v>
      </c>
      <c r="S500" s="40" t="s">
        <v>43</v>
      </c>
      <c r="T500" s="40" t="s">
        <v>139</v>
      </c>
      <c r="U500" s="40">
        <v>26980</v>
      </c>
      <c r="V500" s="40"/>
      <c r="W500" s="40">
        <v>3777</v>
      </c>
    </row>
    <row r="501" spans="1:23">
      <c r="A501" s="40">
        <v>2015</v>
      </c>
      <c r="B501" s="40" t="s">
        <v>106</v>
      </c>
      <c r="C501" s="40" t="s">
        <v>43</v>
      </c>
      <c r="D501" s="40" t="s">
        <v>139</v>
      </c>
      <c r="E501" s="40">
        <v>26980</v>
      </c>
      <c r="F501" s="40"/>
      <c r="G501" s="40">
        <v>3777</v>
      </c>
      <c r="Q501" s="39">
        <v>2015</v>
      </c>
      <c r="R501" s="39" t="s">
        <v>106</v>
      </c>
      <c r="S501" s="39" t="s">
        <v>43</v>
      </c>
      <c r="T501" s="39" t="s">
        <v>140</v>
      </c>
      <c r="U501" s="39">
        <v>19876</v>
      </c>
      <c r="V501" s="39"/>
      <c r="W501" s="39">
        <v>2782</v>
      </c>
    </row>
    <row r="502" spans="1:23">
      <c r="A502" s="39">
        <v>2015</v>
      </c>
      <c r="B502" s="39" t="s">
        <v>106</v>
      </c>
      <c r="C502" s="39" t="s">
        <v>43</v>
      </c>
      <c r="D502" s="39" t="s">
        <v>140</v>
      </c>
      <c r="E502" s="39">
        <v>19876</v>
      </c>
      <c r="F502" s="39"/>
      <c r="G502" s="39">
        <v>2782</v>
      </c>
      <c r="Q502" s="40">
        <v>2015</v>
      </c>
      <c r="R502" s="40" t="s">
        <v>106</v>
      </c>
      <c r="S502" s="40" t="s">
        <v>43</v>
      </c>
      <c r="T502" s="40" t="s">
        <v>141</v>
      </c>
      <c r="U502" s="40">
        <v>12508</v>
      </c>
      <c r="V502" s="40"/>
      <c r="W502" s="40">
        <v>1751</v>
      </c>
    </row>
    <row r="503" spans="1:23">
      <c r="A503" s="40">
        <v>2015</v>
      </c>
      <c r="B503" s="40" t="s">
        <v>106</v>
      </c>
      <c r="C503" s="40" t="s">
        <v>43</v>
      </c>
      <c r="D503" s="40" t="s">
        <v>141</v>
      </c>
      <c r="E503" s="40">
        <v>12508</v>
      </c>
      <c r="F503" s="40"/>
      <c r="G503" s="40">
        <v>1751</v>
      </c>
      <c r="Q503" s="39">
        <v>2015</v>
      </c>
      <c r="R503" s="39" t="s">
        <v>106</v>
      </c>
      <c r="S503" s="39" t="s">
        <v>43</v>
      </c>
      <c r="T503" s="39" t="s">
        <v>142</v>
      </c>
      <c r="U503" s="39">
        <v>9138</v>
      </c>
      <c r="V503" s="39"/>
      <c r="W503" s="39">
        <v>1279</v>
      </c>
    </row>
    <row r="504" spans="1:23">
      <c r="A504" s="39">
        <v>2015</v>
      </c>
      <c r="B504" s="39" t="s">
        <v>106</v>
      </c>
      <c r="C504" s="39" t="s">
        <v>43</v>
      </c>
      <c r="D504" s="39" t="s">
        <v>142</v>
      </c>
      <c r="E504" s="39">
        <v>9138</v>
      </c>
      <c r="F504" s="39"/>
      <c r="G504" s="39">
        <v>1279</v>
      </c>
      <c r="Q504" s="40">
        <v>2015</v>
      </c>
      <c r="R504" s="40" t="s">
        <v>106</v>
      </c>
      <c r="S504" s="40" t="s">
        <v>43</v>
      </c>
      <c r="T504" s="40" t="s">
        <v>143</v>
      </c>
      <c r="U504" s="40">
        <v>5773</v>
      </c>
      <c r="V504" s="40"/>
      <c r="W504" s="40">
        <v>808</v>
      </c>
    </row>
    <row r="505" spans="1:23">
      <c r="A505" s="40">
        <v>2015</v>
      </c>
      <c r="B505" s="40" t="s">
        <v>106</v>
      </c>
      <c r="C505" s="40" t="s">
        <v>43</v>
      </c>
      <c r="D505" s="40" t="s">
        <v>143</v>
      </c>
      <c r="E505" s="40">
        <v>5773</v>
      </c>
      <c r="F505" s="40"/>
      <c r="G505" s="40">
        <v>808</v>
      </c>
      <c r="Q505" s="39">
        <v>2015</v>
      </c>
      <c r="R505" s="39" t="s">
        <v>106</v>
      </c>
      <c r="S505" s="39" t="s">
        <v>43</v>
      </c>
      <c r="T505" s="39" t="s">
        <v>144</v>
      </c>
      <c r="U505" s="39">
        <v>3947</v>
      </c>
      <c r="V505" s="39"/>
      <c r="W505" s="39">
        <v>670</v>
      </c>
    </row>
    <row r="506" spans="1:23">
      <c r="A506" s="39">
        <v>2015</v>
      </c>
      <c r="B506" s="39" t="s">
        <v>106</v>
      </c>
      <c r="C506" s="39" t="s">
        <v>43</v>
      </c>
      <c r="D506" s="39" t="s">
        <v>144</v>
      </c>
      <c r="E506" s="39">
        <v>3947</v>
      </c>
      <c r="F506" s="39"/>
      <c r="G506" s="39">
        <v>670</v>
      </c>
      <c r="Q506" s="40">
        <v>2015</v>
      </c>
      <c r="R506" s="40" t="s">
        <v>106</v>
      </c>
      <c r="S506" s="40" t="s">
        <v>43</v>
      </c>
      <c r="T506" s="40" t="s">
        <v>148</v>
      </c>
      <c r="U506" s="40">
        <v>5215</v>
      </c>
      <c r="V506" s="40"/>
      <c r="W506" s="40">
        <v>886</v>
      </c>
    </row>
    <row r="507" spans="1:23">
      <c r="A507" s="40">
        <v>2015</v>
      </c>
      <c r="B507" s="40" t="s">
        <v>106</v>
      </c>
      <c r="C507" s="40" t="s">
        <v>43</v>
      </c>
      <c r="D507" s="40" t="s">
        <v>148</v>
      </c>
      <c r="E507" s="40">
        <v>5215</v>
      </c>
      <c r="F507" s="40"/>
      <c r="G507" s="40">
        <v>886</v>
      </c>
      <c r="Q507" s="39"/>
      <c r="R507" s="39"/>
      <c r="S507" s="39"/>
      <c r="T507" s="39"/>
      <c r="U507" s="39"/>
      <c r="V507" s="39"/>
      <c r="W507" s="39"/>
    </row>
    <row r="508" spans="1:23">
      <c r="A508" s="39"/>
      <c r="B508" s="39"/>
      <c r="C508" s="39"/>
      <c r="D508" s="39"/>
      <c r="E508" s="39"/>
      <c r="F508" s="39"/>
      <c r="G508" s="39"/>
      <c r="Q508" s="40"/>
      <c r="R508" s="40"/>
      <c r="S508" s="40"/>
      <c r="T508" s="40"/>
      <c r="U508" s="40"/>
      <c r="V508" s="40"/>
      <c r="W508" s="40"/>
    </row>
    <row r="509" spans="1:23">
      <c r="A509" s="40"/>
      <c r="B509" s="40"/>
      <c r="C509" s="40"/>
      <c r="D509" s="40"/>
      <c r="E509" s="40"/>
      <c r="F509" s="40"/>
      <c r="G509" s="40"/>
      <c r="Q509" s="39">
        <v>2015</v>
      </c>
      <c r="R509" s="39" t="s">
        <v>107</v>
      </c>
      <c r="S509" s="39" t="s">
        <v>43</v>
      </c>
      <c r="T509" s="39" t="s">
        <v>130</v>
      </c>
      <c r="U509" s="39">
        <v>87197</v>
      </c>
      <c r="V509" s="39"/>
      <c r="W509" s="39">
        <v>14823</v>
      </c>
    </row>
    <row r="510" spans="1:23">
      <c r="A510" s="39">
        <v>2015</v>
      </c>
      <c r="B510" s="39" t="s">
        <v>107</v>
      </c>
      <c r="C510" s="39" t="s">
        <v>43</v>
      </c>
      <c r="D510" s="39" t="s">
        <v>130</v>
      </c>
      <c r="E510" s="39">
        <v>87197</v>
      </c>
      <c r="F510" s="39"/>
      <c r="G510" s="39">
        <v>14823</v>
      </c>
      <c r="Q510" s="40">
        <v>2015</v>
      </c>
      <c r="R510" s="40" t="s">
        <v>107</v>
      </c>
      <c r="S510" s="40" t="s">
        <v>43</v>
      </c>
      <c r="T510" s="40" t="s">
        <v>131</v>
      </c>
      <c r="U510" s="40">
        <v>68289</v>
      </c>
      <c r="V510" s="40"/>
      <c r="W510" s="40">
        <v>9560</v>
      </c>
    </row>
    <row r="511" spans="1:23">
      <c r="A511" s="40">
        <v>2015</v>
      </c>
      <c r="B511" s="40" t="s">
        <v>107</v>
      </c>
      <c r="C511" s="40" t="s">
        <v>43</v>
      </c>
      <c r="D511" s="40" t="s">
        <v>131</v>
      </c>
      <c r="E511" s="40">
        <v>68289</v>
      </c>
      <c r="F511" s="40"/>
      <c r="G511" s="40">
        <v>9560</v>
      </c>
      <c r="Q511" s="39">
        <v>2015</v>
      </c>
      <c r="R511" s="39" t="s">
        <v>107</v>
      </c>
      <c r="S511" s="39" t="s">
        <v>43</v>
      </c>
      <c r="T511" s="39" t="s">
        <v>132</v>
      </c>
      <c r="U511" s="39">
        <v>57158</v>
      </c>
      <c r="V511" s="39"/>
      <c r="W511" s="39">
        <v>8002</v>
      </c>
    </row>
    <row r="512" spans="1:23">
      <c r="A512" s="39">
        <v>2015</v>
      </c>
      <c r="B512" s="39" t="s">
        <v>107</v>
      </c>
      <c r="C512" s="39" t="s">
        <v>43</v>
      </c>
      <c r="D512" s="39" t="s">
        <v>132</v>
      </c>
      <c r="E512" s="39">
        <v>57158</v>
      </c>
      <c r="F512" s="39"/>
      <c r="G512" s="39">
        <v>8002</v>
      </c>
      <c r="Q512" s="40">
        <v>2015</v>
      </c>
      <c r="R512" s="40" t="s">
        <v>107</v>
      </c>
      <c r="S512" s="40" t="s">
        <v>43</v>
      </c>
      <c r="T512" s="40" t="s">
        <v>117</v>
      </c>
      <c r="U512" s="40">
        <v>50620</v>
      </c>
      <c r="V512" s="40"/>
      <c r="W512" s="40">
        <v>7086</v>
      </c>
    </row>
    <row r="513" spans="1:23">
      <c r="A513" s="40">
        <v>2015</v>
      </c>
      <c r="B513" s="40" t="s">
        <v>107</v>
      </c>
      <c r="C513" s="40" t="s">
        <v>43</v>
      </c>
      <c r="D513" s="40" t="s">
        <v>117</v>
      </c>
      <c r="E513" s="40">
        <v>50620</v>
      </c>
      <c r="F513" s="40"/>
      <c r="G513" s="40">
        <v>7086</v>
      </c>
      <c r="Q513" s="39">
        <v>2015</v>
      </c>
      <c r="R513" s="39" t="s">
        <v>107</v>
      </c>
      <c r="S513" s="39" t="s">
        <v>43</v>
      </c>
      <c r="T513" s="39" t="s">
        <v>133</v>
      </c>
      <c r="U513" s="39">
        <v>41661</v>
      </c>
      <c r="V513" s="39"/>
      <c r="W513" s="39">
        <v>5832</v>
      </c>
    </row>
    <row r="514" spans="1:23">
      <c r="A514" s="39">
        <v>2015</v>
      </c>
      <c r="B514" s="39" t="s">
        <v>107</v>
      </c>
      <c r="C514" s="39" t="s">
        <v>43</v>
      </c>
      <c r="D514" s="39" t="s">
        <v>133</v>
      </c>
      <c r="E514" s="39">
        <v>41661</v>
      </c>
      <c r="F514" s="39"/>
      <c r="G514" s="39">
        <v>5832</v>
      </c>
      <c r="Q514" s="40">
        <v>2015</v>
      </c>
      <c r="R514" s="40" t="s">
        <v>107</v>
      </c>
      <c r="S514" s="40" t="s">
        <v>43</v>
      </c>
      <c r="T514" s="40" t="s">
        <v>134</v>
      </c>
      <c r="U514" s="40">
        <v>33784</v>
      </c>
      <c r="V514" s="40"/>
      <c r="W514" s="40">
        <v>4729</v>
      </c>
    </row>
    <row r="515" spans="1:23">
      <c r="A515" s="40">
        <v>2015</v>
      </c>
      <c r="B515" s="40" t="s">
        <v>107</v>
      </c>
      <c r="C515" s="40" t="s">
        <v>43</v>
      </c>
      <c r="D515" s="40" t="s">
        <v>134</v>
      </c>
      <c r="E515" s="40">
        <v>33784</v>
      </c>
      <c r="F515" s="40"/>
      <c r="G515" s="40">
        <v>4729</v>
      </c>
      <c r="Q515" s="39">
        <v>2015</v>
      </c>
      <c r="R515" s="39" t="s">
        <v>107</v>
      </c>
      <c r="S515" s="39" t="s">
        <v>43</v>
      </c>
      <c r="T515" s="39" t="s">
        <v>135</v>
      </c>
      <c r="U515" s="39">
        <v>28312</v>
      </c>
      <c r="V515" s="39"/>
      <c r="W515" s="39">
        <v>3963</v>
      </c>
    </row>
    <row r="516" spans="1:23">
      <c r="A516" s="39">
        <v>2015</v>
      </c>
      <c r="B516" s="39" t="s">
        <v>107</v>
      </c>
      <c r="C516" s="39" t="s">
        <v>43</v>
      </c>
      <c r="D516" s="39" t="s">
        <v>135</v>
      </c>
      <c r="E516" s="39">
        <v>28312</v>
      </c>
      <c r="F516" s="39"/>
      <c r="G516" s="39">
        <v>3963</v>
      </c>
      <c r="Q516" s="40">
        <v>2015</v>
      </c>
      <c r="R516" s="40" t="s">
        <v>107</v>
      </c>
      <c r="S516" s="40" t="s">
        <v>43</v>
      </c>
      <c r="T516" s="40" t="s">
        <v>136</v>
      </c>
      <c r="U516" s="40">
        <v>20200</v>
      </c>
      <c r="V516" s="40"/>
      <c r="W516" s="40">
        <v>2828</v>
      </c>
    </row>
    <row r="517" spans="1:23">
      <c r="A517" s="40">
        <v>2015</v>
      </c>
      <c r="B517" s="40" t="s">
        <v>107</v>
      </c>
      <c r="C517" s="40" t="s">
        <v>43</v>
      </c>
      <c r="D517" s="40" t="s">
        <v>136</v>
      </c>
      <c r="E517" s="40">
        <v>20200</v>
      </c>
      <c r="F517" s="40"/>
      <c r="G517" s="40">
        <v>2828</v>
      </c>
      <c r="Q517" s="39">
        <v>2015</v>
      </c>
      <c r="R517" s="39" t="s">
        <v>107</v>
      </c>
      <c r="S517" s="39" t="s">
        <v>43</v>
      </c>
      <c r="T517" s="39" t="s">
        <v>137</v>
      </c>
      <c r="U517" s="39">
        <v>17232</v>
      </c>
      <c r="V517" s="39"/>
      <c r="W517" s="39">
        <v>2412</v>
      </c>
    </row>
    <row r="518" spans="1:23">
      <c r="A518" s="39">
        <v>2015</v>
      </c>
      <c r="B518" s="39" t="s">
        <v>107</v>
      </c>
      <c r="C518" s="39" t="s">
        <v>43</v>
      </c>
      <c r="D518" s="39" t="s">
        <v>137</v>
      </c>
      <c r="E518" s="39">
        <v>17232</v>
      </c>
      <c r="F518" s="39"/>
      <c r="G518" s="39">
        <v>2412</v>
      </c>
      <c r="Q518" s="40">
        <v>2015</v>
      </c>
      <c r="R518" s="40" t="s">
        <v>107</v>
      </c>
      <c r="S518" s="40" t="s">
        <v>43</v>
      </c>
      <c r="T518" s="40" t="s">
        <v>138</v>
      </c>
      <c r="U518" s="40">
        <v>12127</v>
      </c>
      <c r="V518" s="40"/>
      <c r="W518" s="40">
        <v>1697</v>
      </c>
    </row>
    <row r="519" spans="1:23">
      <c r="A519" s="40">
        <v>2015</v>
      </c>
      <c r="B519" s="40" t="s">
        <v>107</v>
      </c>
      <c r="C519" s="40" t="s">
        <v>43</v>
      </c>
      <c r="D519" s="40" t="s">
        <v>138</v>
      </c>
      <c r="E519" s="40">
        <v>12127</v>
      </c>
      <c r="F519" s="40"/>
      <c r="G519" s="40">
        <v>1697</v>
      </c>
      <c r="Q519" s="39">
        <v>2015</v>
      </c>
      <c r="R519" s="39" t="s">
        <v>107</v>
      </c>
      <c r="S519" s="39" t="s">
        <v>43</v>
      </c>
      <c r="T519" s="39" t="s">
        <v>139</v>
      </c>
      <c r="U519" s="39">
        <v>10408</v>
      </c>
      <c r="V519" s="39"/>
      <c r="W519" s="39">
        <v>1457</v>
      </c>
    </row>
    <row r="520" spans="1:23">
      <c r="A520" s="39">
        <v>2015</v>
      </c>
      <c r="B520" s="39" t="s">
        <v>107</v>
      </c>
      <c r="C520" s="39" t="s">
        <v>43</v>
      </c>
      <c r="D520" s="39" t="s">
        <v>139</v>
      </c>
      <c r="E520" s="39">
        <v>10408</v>
      </c>
      <c r="F520" s="39"/>
      <c r="G520" s="39">
        <v>1457</v>
      </c>
      <c r="Q520" s="40">
        <v>2015</v>
      </c>
      <c r="R520" s="40" t="s">
        <v>107</v>
      </c>
      <c r="S520" s="40" t="s">
        <v>43</v>
      </c>
      <c r="T520" s="40" t="s">
        <v>140</v>
      </c>
      <c r="U520" s="40">
        <v>7708</v>
      </c>
      <c r="V520" s="40"/>
      <c r="W520" s="40">
        <v>1079</v>
      </c>
    </row>
    <row r="521" spans="1:23">
      <c r="A521" s="40">
        <v>2015</v>
      </c>
      <c r="B521" s="40" t="s">
        <v>107</v>
      </c>
      <c r="C521" s="40" t="s">
        <v>43</v>
      </c>
      <c r="D521" s="40" t="s">
        <v>140</v>
      </c>
      <c r="E521" s="40">
        <v>7708</v>
      </c>
      <c r="F521" s="40"/>
      <c r="G521" s="40">
        <v>1079</v>
      </c>
      <c r="Q521" s="39">
        <v>2015</v>
      </c>
      <c r="R521" s="39" t="s">
        <v>107</v>
      </c>
      <c r="S521" s="39" t="s">
        <v>43</v>
      </c>
      <c r="T521" s="39" t="s">
        <v>141</v>
      </c>
      <c r="U521" s="39">
        <v>5255</v>
      </c>
      <c r="V521" s="39"/>
      <c r="W521" s="39">
        <v>735</v>
      </c>
    </row>
    <row r="522" spans="1:23">
      <c r="A522" s="39">
        <v>2015</v>
      </c>
      <c r="B522" s="39" t="s">
        <v>107</v>
      </c>
      <c r="C522" s="39" t="s">
        <v>43</v>
      </c>
      <c r="D522" s="39" t="s">
        <v>141</v>
      </c>
      <c r="E522" s="39">
        <v>5255</v>
      </c>
      <c r="F522" s="39"/>
      <c r="G522" s="39">
        <v>735</v>
      </c>
      <c r="Q522" s="40">
        <v>2015</v>
      </c>
      <c r="R522" s="40" t="s">
        <v>107</v>
      </c>
      <c r="S522" s="40" t="s">
        <v>43</v>
      </c>
      <c r="T522" s="40" t="s">
        <v>142</v>
      </c>
      <c r="U522" s="40">
        <v>5504</v>
      </c>
      <c r="V522" s="40"/>
      <c r="W522" s="40">
        <v>770</v>
      </c>
    </row>
    <row r="523" spans="1:23">
      <c r="A523" s="40">
        <v>2015</v>
      </c>
      <c r="B523" s="40" t="s">
        <v>107</v>
      </c>
      <c r="C523" s="40" t="s">
        <v>43</v>
      </c>
      <c r="D523" s="40" t="s">
        <v>142</v>
      </c>
      <c r="E523" s="40">
        <v>5504</v>
      </c>
      <c r="F523" s="40"/>
      <c r="G523" s="40">
        <v>770</v>
      </c>
      <c r="Q523" s="39">
        <v>2015</v>
      </c>
      <c r="R523" s="39" t="s">
        <v>107</v>
      </c>
      <c r="S523" s="39" t="s">
        <v>43</v>
      </c>
      <c r="T523" s="39" t="s">
        <v>143</v>
      </c>
      <c r="U523" s="39">
        <v>4003</v>
      </c>
      <c r="V523" s="39"/>
      <c r="W523" s="39">
        <v>560</v>
      </c>
    </row>
    <row r="524" spans="1:23">
      <c r="A524" s="39">
        <v>2015</v>
      </c>
      <c r="B524" s="39" t="s">
        <v>107</v>
      </c>
      <c r="C524" s="39" t="s">
        <v>43</v>
      </c>
      <c r="D524" s="39" t="s">
        <v>143</v>
      </c>
      <c r="E524" s="39">
        <v>4003</v>
      </c>
      <c r="F524" s="39"/>
      <c r="G524" s="39">
        <v>560</v>
      </c>
      <c r="Q524" s="40">
        <v>2015</v>
      </c>
      <c r="R524" s="40" t="s">
        <v>107</v>
      </c>
      <c r="S524" s="40" t="s">
        <v>43</v>
      </c>
      <c r="T524" s="40" t="s">
        <v>144</v>
      </c>
      <c r="U524" s="40">
        <v>2875</v>
      </c>
      <c r="V524" s="40"/>
      <c r="W524" s="40">
        <v>488</v>
      </c>
    </row>
    <row r="525" spans="1:23">
      <c r="A525" s="40">
        <v>2015</v>
      </c>
      <c r="B525" s="40" t="s">
        <v>107</v>
      </c>
      <c r="C525" s="40" t="s">
        <v>43</v>
      </c>
      <c r="D525" s="40" t="s">
        <v>144</v>
      </c>
      <c r="E525" s="40">
        <v>2875</v>
      </c>
      <c r="F525" s="40"/>
      <c r="G525" s="40">
        <v>488</v>
      </c>
      <c r="Q525" s="39">
        <v>2015</v>
      </c>
      <c r="R525" s="39" t="s">
        <v>107</v>
      </c>
      <c r="S525" s="39" t="s">
        <v>43</v>
      </c>
      <c r="T525" s="39" t="s">
        <v>148</v>
      </c>
      <c r="U525" s="39">
        <v>3165</v>
      </c>
      <c r="V525" s="39"/>
      <c r="W525" s="39">
        <v>538</v>
      </c>
    </row>
    <row r="526" spans="1:23">
      <c r="A526" s="39">
        <v>2015</v>
      </c>
      <c r="B526" s="39" t="s">
        <v>107</v>
      </c>
      <c r="C526" s="39" t="s">
        <v>43</v>
      </c>
      <c r="D526" s="39" t="s">
        <v>148</v>
      </c>
      <c r="E526" s="39">
        <v>3165</v>
      </c>
      <c r="F526" s="39"/>
      <c r="G526" s="39">
        <v>538</v>
      </c>
      <c r="Q526" s="40"/>
      <c r="R526" s="40"/>
      <c r="S526" s="40"/>
      <c r="T526" s="40"/>
      <c r="U526" s="40"/>
      <c r="V526" s="40"/>
      <c r="W526" s="40"/>
    </row>
    <row r="527" spans="1:23">
      <c r="A527" s="40"/>
      <c r="B527" s="40"/>
      <c r="C527" s="40"/>
      <c r="D527" s="40"/>
      <c r="E527" s="40"/>
      <c r="F527" s="40"/>
      <c r="G527" s="40"/>
      <c r="Q527" s="39"/>
      <c r="R527" s="39"/>
      <c r="S527" s="39"/>
      <c r="T527" s="39"/>
      <c r="U527" s="39"/>
      <c r="V527" s="39"/>
      <c r="W527" s="39"/>
    </row>
    <row r="528" spans="1:23">
      <c r="A528" s="39"/>
      <c r="B528" s="39"/>
      <c r="C528" s="39"/>
      <c r="D528" s="39"/>
      <c r="E528" s="39"/>
      <c r="F528" s="39"/>
      <c r="G528" s="39"/>
      <c r="Q528" s="40">
        <v>2015</v>
      </c>
      <c r="R528" s="40" t="s">
        <v>109</v>
      </c>
      <c r="S528" s="40" t="s">
        <v>43</v>
      </c>
      <c r="T528" s="40" t="s">
        <v>130</v>
      </c>
      <c r="U528" s="40">
        <v>126969</v>
      </c>
      <c r="V528" s="40"/>
      <c r="W528" s="40">
        <v>21584</v>
      </c>
    </row>
    <row r="529" spans="1:23">
      <c r="A529" s="40">
        <v>2015</v>
      </c>
      <c r="B529" s="40" t="s">
        <v>109</v>
      </c>
      <c r="C529" s="40" t="s">
        <v>43</v>
      </c>
      <c r="D529" s="40" t="s">
        <v>130</v>
      </c>
      <c r="E529" s="40">
        <v>126969</v>
      </c>
      <c r="F529" s="40"/>
      <c r="G529" s="40">
        <v>21584</v>
      </c>
      <c r="Q529" s="39">
        <v>2015</v>
      </c>
      <c r="R529" s="39" t="s">
        <v>109</v>
      </c>
      <c r="S529" s="39" t="s">
        <v>43</v>
      </c>
      <c r="T529" s="39" t="s">
        <v>131</v>
      </c>
      <c r="U529" s="39">
        <v>105544</v>
      </c>
      <c r="V529" s="39"/>
      <c r="W529" s="39">
        <v>14776</v>
      </c>
    </row>
    <row r="530" spans="1:23">
      <c r="A530" s="39">
        <v>2015</v>
      </c>
      <c r="B530" s="39" t="s">
        <v>109</v>
      </c>
      <c r="C530" s="39" t="s">
        <v>43</v>
      </c>
      <c r="D530" s="39" t="s">
        <v>131</v>
      </c>
      <c r="E530" s="39">
        <v>105544</v>
      </c>
      <c r="F530" s="39"/>
      <c r="G530" s="39">
        <v>14776</v>
      </c>
      <c r="Q530" s="40">
        <v>2015</v>
      </c>
      <c r="R530" s="40" t="s">
        <v>109</v>
      </c>
      <c r="S530" s="40" t="s">
        <v>43</v>
      </c>
      <c r="T530" s="40" t="s">
        <v>132</v>
      </c>
      <c r="U530" s="40">
        <v>83709</v>
      </c>
      <c r="V530" s="40"/>
      <c r="W530" s="40">
        <v>11719</v>
      </c>
    </row>
    <row r="531" spans="1:23">
      <c r="A531" s="40">
        <v>2015</v>
      </c>
      <c r="B531" s="40" t="s">
        <v>109</v>
      </c>
      <c r="C531" s="40" t="s">
        <v>43</v>
      </c>
      <c r="D531" s="40" t="s">
        <v>132</v>
      </c>
      <c r="E531" s="40">
        <v>83709</v>
      </c>
      <c r="F531" s="40"/>
      <c r="G531" s="40">
        <v>11719</v>
      </c>
      <c r="Q531" s="39">
        <v>2015</v>
      </c>
      <c r="R531" s="39" t="s">
        <v>109</v>
      </c>
      <c r="S531" s="39" t="s">
        <v>43</v>
      </c>
      <c r="T531" s="39" t="s">
        <v>117</v>
      </c>
      <c r="U531" s="39">
        <v>71220</v>
      </c>
      <c r="V531" s="39"/>
      <c r="W531" s="39">
        <v>9970</v>
      </c>
    </row>
    <row r="532" spans="1:23">
      <c r="A532" s="39">
        <v>2015</v>
      </c>
      <c r="B532" s="39" t="s">
        <v>109</v>
      </c>
      <c r="C532" s="39" t="s">
        <v>43</v>
      </c>
      <c r="D532" s="39" t="s">
        <v>117</v>
      </c>
      <c r="E532" s="39">
        <v>71220</v>
      </c>
      <c r="F532" s="39"/>
      <c r="G532" s="39">
        <v>9970</v>
      </c>
      <c r="Q532" s="40">
        <v>2015</v>
      </c>
      <c r="R532" s="40" t="s">
        <v>109</v>
      </c>
      <c r="S532" s="40" t="s">
        <v>43</v>
      </c>
      <c r="T532" s="40" t="s">
        <v>133</v>
      </c>
      <c r="U532" s="40">
        <v>57918</v>
      </c>
      <c r="V532" s="40"/>
      <c r="W532" s="40">
        <v>8108</v>
      </c>
    </row>
    <row r="533" spans="1:23">
      <c r="A533" s="40">
        <v>2015</v>
      </c>
      <c r="B533" s="40" t="s">
        <v>109</v>
      </c>
      <c r="C533" s="40" t="s">
        <v>43</v>
      </c>
      <c r="D533" s="40" t="s">
        <v>133</v>
      </c>
      <c r="E533" s="40">
        <v>57918</v>
      </c>
      <c r="F533" s="40"/>
      <c r="G533" s="40">
        <v>8108</v>
      </c>
      <c r="Q533" s="39">
        <v>2015</v>
      </c>
      <c r="R533" s="39" t="s">
        <v>109</v>
      </c>
      <c r="S533" s="39" t="s">
        <v>43</v>
      </c>
      <c r="T533" s="39" t="s">
        <v>134</v>
      </c>
      <c r="U533" s="39">
        <v>46562</v>
      </c>
      <c r="V533" s="39"/>
      <c r="W533" s="39">
        <v>6518</v>
      </c>
    </row>
    <row r="534" spans="1:23">
      <c r="A534" s="39">
        <v>2015</v>
      </c>
      <c r="B534" s="39" t="s">
        <v>109</v>
      </c>
      <c r="C534" s="39" t="s">
        <v>43</v>
      </c>
      <c r="D534" s="39" t="s">
        <v>134</v>
      </c>
      <c r="E534" s="39">
        <v>46562</v>
      </c>
      <c r="F534" s="39"/>
      <c r="G534" s="39">
        <v>6518</v>
      </c>
      <c r="Q534" s="40">
        <v>2015</v>
      </c>
      <c r="R534" s="40" t="s">
        <v>109</v>
      </c>
      <c r="S534" s="40" t="s">
        <v>43</v>
      </c>
      <c r="T534" s="40" t="s">
        <v>135</v>
      </c>
      <c r="U534" s="40">
        <v>40520</v>
      </c>
      <c r="V534" s="40"/>
      <c r="W534" s="40">
        <v>5672</v>
      </c>
    </row>
    <row r="535" spans="1:23">
      <c r="A535" s="40">
        <v>2015</v>
      </c>
      <c r="B535" s="40" t="s">
        <v>109</v>
      </c>
      <c r="C535" s="40" t="s">
        <v>43</v>
      </c>
      <c r="D535" s="40" t="s">
        <v>135</v>
      </c>
      <c r="E535" s="40">
        <v>40520</v>
      </c>
      <c r="F535" s="40"/>
      <c r="G535" s="40">
        <v>5672</v>
      </c>
      <c r="Q535" s="39">
        <v>2015</v>
      </c>
      <c r="R535" s="39" t="s">
        <v>109</v>
      </c>
      <c r="S535" s="39" t="s">
        <v>43</v>
      </c>
      <c r="T535" s="39" t="s">
        <v>136</v>
      </c>
      <c r="U535" s="39">
        <v>28547</v>
      </c>
      <c r="V535" s="39"/>
      <c r="W535" s="39">
        <v>3996</v>
      </c>
    </row>
    <row r="536" spans="1:23">
      <c r="A536" s="39">
        <v>2015</v>
      </c>
      <c r="B536" s="39" t="s">
        <v>109</v>
      </c>
      <c r="C536" s="39" t="s">
        <v>43</v>
      </c>
      <c r="D536" s="39" t="s">
        <v>136</v>
      </c>
      <c r="E536" s="39">
        <v>28547</v>
      </c>
      <c r="F536" s="39"/>
      <c r="G536" s="39">
        <v>3996</v>
      </c>
      <c r="Q536" s="40">
        <v>2015</v>
      </c>
      <c r="R536" s="40" t="s">
        <v>109</v>
      </c>
      <c r="S536" s="40" t="s">
        <v>43</v>
      </c>
      <c r="T536" s="40" t="s">
        <v>137</v>
      </c>
      <c r="U536" s="40">
        <v>25067</v>
      </c>
      <c r="V536" s="40"/>
      <c r="W536" s="40">
        <v>3509</v>
      </c>
    </row>
    <row r="537" spans="1:23">
      <c r="A537" s="40">
        <v>2015</v>
      </c>
      <c r="B537" s="40" t="s">
        <v>109</v>
      </c>
      <c r="C537" s="40" t="s">
        <v>43</v>
      </c>
      <c r="D537" s="40" t="s">
        <v>137</v>
      </c>
      <c r="E537" s="40">
        <v>25067</v>
      </c>
      <c r="F537" s="40"/>
      <c r="G537" s="40">
        <v>3509</v>
      </c>
      <c r="Q537" s="39">
        <v>2015</v>
      </c>
      <c r="R537" s="39" t="s">
        <v>109</v>
      </c>
      <c r="S537" s="39" t="s">
        <v>43</v>
      </c>
      <c r="T537" s="39" t="s">
        <v>138</v>
      </c>
      <c r="U537" s="39">
        <v>17403</v>
      </c>
      <c r="V537" s="39"/>
      <c r="W537" s="39">
        <v>2436</v>
      </c>
    </row>
    <row r="538" spans="1:23">
      <c r="A538" s="39">
        <v>2015</v>
      </c>
      <c r="B538" s="39" t="s">
        <v>109</v>
      </c>
      <c r="C538" s="39" t="s">
        <v>43</v>
      </c>
      <c r="D538" s="39" t="s">
        <v>138</v>
      </c>
      <c r="E538" s="39">
        <v>17403</v>
      </c>
      <c r="F538" s="39"/>
      <c r="G538" s="39">
        <v>2436</v>
      </c>
      <c r="Q538" s="40">
        <v>2015</v>
      </c>
      <c r="R538" s="40" t="s">
        <v>109</v>
      </c>
      <c r="S538" s="40" t="s">
        <v>43</v>
      </c>
      <c r="T538" s="40" t="s">
        <v>139</v>
      </c>
      <c r="U538" s="40">
        <v>15474</v>
      </c>
      <c r="V538" s="40"/>
      <c r="W538" s="40">
        <v>2166</v>
      </c>
    </row>
    <row r="539" spans="1:23">
      <c r="A539" s="40">
        <v>2015</v>
      </c>
      <c r="B539" s="40" t="s">
        <v>109</v>
      </c>
      <c r="C539" s="40" t="s">
        <v>43</v>
      </c>
      <c r="D539" s="40" t="s">
        <v>139</v>
      </c>
      <c r="E539" s="40">
        <v>15474</v>
      </c>
      <c r="F539" s="40"/>
      <c r="G539" s="40">
        <v>2166</v>
      </c>
      <c r="Q539" s="39">
        <v>2015</v>
      </c>
      <c r="R539" s="39" t="s">
        <v>109</v>
      </c>
      <c r="S539" s="39" t="s">
        <v>43</v>
      </c>
      <c r="T539" s="39" t="s">
        <v>140</v>
      </c>
      <c r="U539" s="39">
        <v>11330</v>
      </c>
      <c r="V539" s="39"/>
      <c r="W539" s="39">
        <v>1586</v>
      </c>
    </row>
    <row r="540" spans="1:23">
      <c r="A540" s="39">
        <v>2015</v>
      </c>
      <c r="B540" s="39" t="s">
        <v>109</v>
      </c>
      <c r="C540" s="39" t="s">
        <v>43</v>
      </c>
      <c r="D540" s="39" t="s">
        <v>140</v>
      </c>
      <c r="E540" s="39">
        <v>11330</v>
      </c>
      <c r="F540" s="39"/>
      <c r="G540" s="39">
        <v>1586</v>
      </c>
      <c r="Q540" s="40">
        <v>2015</v>
      </c>
      <c r="R540" s="40" t="s">
        <v>109</v>
      </c>
      <c r="S540" s="40" t="s">
        <v>43</v>
      </c>
      <c r="T540" s="40" t="s">
        <v>141</v>
      </c>
      <c r="U540" s="40">
        <v>7709</v>
      </c>
      <c r="V540" s="40"/>
      <c r="W540" s="40">
        <v>1079</v>
      </c>
    </row>
    <row r="541" spans="1:23">
      <c r="A541" s="40">
        <v>2015</v>
      </c>
      <c r="B541" s="40" t="s">
        <v>109</v>
      </c>
      <c r="C541" s="40" t="s">
        <v>43</v>
      </c>
      <c r="D541" s="40" t="s">
        <v>141</v>
      </c>
      <c r="E541" s="40">
        <v>7709</v>
      </c>
      <c r="F541" s="40"/>
      <c r="G541" s="40">
        <v>1079</v>
      </c>
      <c r="Q541" s="39">
        <v>2015</v>
      </c>
      <c r="R541" s="39" t="s">
        <v>109</v>
      </c>
      <c r="S541" s="39" t="s">
        <v>43</v>
      </c>
      <c r="T541" s="39" t="s">
        <v>142</v>
      </c>
      <c r="U541" s="39">
        <v>7398</v>
      </c>
      <c r="V541" s="39"/>
      <c r="W541" s="39">
        <v>1035</v>
      </c>
    </row>
    <row r="542" spans="1:23">
      <c r="A542" s="39">
        <v>2015</v>
      </c>
      <c r="B542" s="39" t="s">
        <v>109</v>
      </c>
      <c r="C542" s="39" t="s">
        <v>43</v>
      </c>
      <c r="D542" s="39" t="s">
        <v>142</v>
      </c>
      <c r="E542" s="39">
        <v>7398</v>
      </c>
      <c r="F542" s="39"/>
      <c r="G542" s="39">
        <v>1035</v>
      </c>
      <c r="Q542" s="40">
        <v>2015</v>
      </c>
      <c r="R542" s="40" t="s">
        <v>109</v>
      </c>
      <c r="S542" s="40" t="s">
        <v>43</v>
      </c>
      <c r="T542" s="40" t="s">
        <v>143</v>
      </c>
      <c r="U542" s="40">
        <v>5444</v>
      </c>
      <c r="V542" s="40"/>
      <c r="W542" s="40">
        <v>762</v>
      </c>
    </row>
    <row r="543" spans="1:23">
      <c r="A543" s="40">
        <v>2015</v>
      </c>
      <c r="B543" s="40" t="s">
        <v>109</v>
      </c>
      <c r="C543" s="40" t="s">
        <v>43</v>
      </c>
      <c r="D543" s="40" t="s">
        <v>143</v>
      </c>
      <c r="E543" s="40">
        <v>5444</v>
      </c>
      <c r="F543" s="40"/>
      <c r="G543" s="40">
        <v>762</v>
      </c>
      <c r="Q543" s="39">
        <v>2015</v>
      </c>
      <c r="R543" s="39" t="s">
        <v>109</v>
      </c>
      <c r="S543" s="39" t="s">
        <v>43</v>
      </c>
      <c r="T543" s="39" t="s">
        <v>144</v>
      </c>
      <c r="U543" s="39">
        <v>3502</v>
      </c>
      <c r="V543" s="39"/>
      <c r="W543" s="39">
        <v>595</v>
      </c>
    </row>
    <row r="544" spans="1:23">
      <c r="A544" s="39">
        <v>2015</v>
      </c>
      <c r="B544" s="39" t="s">
        <v>109</v>
      </c>
      <c r="C544" s="39" t="s">
        <v>43</v>
      </c>
      <c r="D544" s="39" t="s">
        <v>144</v>
      </c>
      <c r="E544" s="39">
        <v>3502</v>
      </c>
      <c r="F544" s="39"/>
      <c r="G544" s="39">
        <v>595</v>
      </c>
      <c r="Q544" s="40">
        <v>2015</v>
      </c>
      <c r="R544" s="40" t="s">
        <v>109</v>
      </c>
      <c r="S544" s="40" t="s">
        <v>43</v>
      </c>
      <c r="T544" s="40" t="s">
        <v>148</v>
      </c>
      <c r="U544" s="40">
        <v>3136</v>
      </c>
      <c r="V544" s="40"/>
      <c r="W544" s="40">
        <v>533</v>
      </c>
    </row>
    <row r="545" spans="1:23">
      <c r="A545" s="40">
        <v>2015</v>
      </c>
      <c r="B545" s="40" t="s">
        <v>109</v>
      </c>
      <c r="C545" s="40" t="s">
        <v>43</v>
      </c>
      <c r="D545" s="40" t="s">
        <v>148</v>
      </c>
      <c r="E545" s="40">
        <v>3136</v>
      </c>
      <c r="F545" s="40"/>
      <c r="G545" s="40">
        <v>533</v>
      </c>
      <c r="Q545" s="39"/>
      <c r="R545" s="39"/>
      <c r="S545" s="39"/>
      <c r="T545" s="39"/>
      <c r="U545" s="39"/>
      <c r="V545" s="39"/>
      <c r="W545" s="39"/>
    </row>
    <row r="546" spans="1:23">
      <c r="A546" s="39"/>
      <c r="B546" s="39"/>
      <c r="C546" s="39"/>
      <c r="D546" s="39"/>
      <c r="E546" s="39"/>
      <c r="F546" s="39"/>
      <c r="G546" s="39"/>
      <c r="Q546" s="40"/>
      <c r="R546" s="40"/>
      <c r="S546" s="40"/>
      <c r="T546" s="40"/>
      <c r="U546" s="40"/>
      <c r="V546" s="40"/>
      <c r="W546" s="40"/>
    </row>
    <row r="547" spans="1:23">
      <c r="A547" s="40"/>
      <c r="B547" s="40"/>
      <c r="C547" s="40"/>
      <c r="D547" s="40"/>
      <c r="E547" s="40"/>
      <c r="F547" s="40"/>
      <c r="G547" s="40"/>
      <c r="Q547" s="39">
        <v>2015</v>
      </c>
      <c r="R547" s="39" t="s">
        <v>108</v>
      </c>
      <c r="S547" s="39" t="s">
        <v>43</v>
      </c>
      <c r="T547" s="39" t="s">
        <v>130</v>
      </c>
      <c r="U547" s="39">
        <v>81784</v>
      </c>
      <c r="V547" s="39"/>
      <c r="W547" s="39">
        <v>13903</v>
      </c>
    </row>
    <row r="548" spans="1:23">
      <c r="A548" s="39">
        <v>2015</v>
      </c>
      <c r="B548" s="39" t="s">
        <v>108</v>
      </c>
      <c r="C548" s="39" t="s">
        <v>43</v>
      </c>
      <c r="D548" s="39" t="s">
        <v>130</v>
      </c>
      <c r="E548" s="39">
        <v>81784</v>
      </c>
      <c r="F548" s="39"/>
      <c r="G548" s="39">
        <v>13903</v>
      </c>
      <c r="Q548" s="40">
        <v>2015</v>
      </c>
      <c r="R548" s="40" t="s">
        <v>108</v>
      </c>
      <c r="S548" s="40" t="s">
        <v>43</v>
      </c>
      <c r="T548" s="40" t="s">
        <v>131</v>
      </c>
      <c r="U548" s="40">
        <v>69526</v>
      </c>
      <c r="V548" s="40"/>
      <c r="W548" s="40">
        <v>9733</v>
      </c>
    </row>
    <row r="549" spans="1:23">
      <c r="A549" s="40">
        <v>2015</v>
      </c>
      <c r="B549" s="40" t="s">
        <v>108</v>
      </c>
      <c r="C549" s="40" t="s">
        <v>43</v>
      </c>
      <c r="D549" s="40" t="s">
        <v>131</v>
      </c>
      <c r="E549" s="40">
        <v>69526</v>
      </c>
      <c r="F549" s="40"/>
      <c r="G549" s="40">
        <v>9733</v>
      </c>
      <c r="Q549" s="39">
        <v>2015</v>
      </c>
      <c r="R549" s="39" t="s">
        <v>108</v>
      </c>
      <c r="S549" s="39" t="s">
        <v>43</v>
      </c>
      <c r="T549" s="39" t="s">
        <v>132</v>
      </c>
      <c r="U549" s="39">
        <v>52101</v>
      </c>
      <c r="V549" s="39"/>
      <c r="W549" s="39">
        <v>7294</v>
      </c>
    </row>
    <row r="550" spans="1:23">
      <c r="A550" s="39">
        <v>2015</v>
      </c>
      <c r="B550" s="39" t="s">
        <v>108</v>
      </c>
      <c r="C550" s="39" t="s">
        <v>43</v>
      </c>
      <c r="D550" s="39" t="s">
        <v>132</v>
      </c>
      <c r="E550" s="39">
        <v>52101</v>
      </c>
      <c r="F550" s="39"/>
      <c r="G550" s="39">
        <v>7294</v>
      </c>
      <c r="Q550" s="40">
        <v>2015</v>
      </c>
      <c r="R550" s="40" t="s">
        <v>108</v>
      </c>
      <c r="S550" s="40" t="s">
        <v>43</v>
      </c>
      <c r="T550" s="40" t="s">
        <v>117</v>
      </c>
      <c r="U550" s="40">
        <v>46862</v>
      </c>
      <c r="V550" s="40"/>
      <c r="W550" s="40">
        <v>6560</v>
      </c>
    </row>
    <row r="551" spans="1:23">
      <c r="A551" s="40">
        <v>2015</v>
      </c>
      <c r="B551" s="40" t="s">
        <v>108</v>
      </c>
      <c r="C551" s="40" t="s">
        <v>43</v>
      </c>
      <c r="D551" s="40" t="s">
        <v>117</v>
      </c>
      <c r="E551" s="40">
        <v>46862</v>
      </c>
      <c r="F551" s="40"/>
      <c r="G551" s="40">
        <v>6560</v>
      </c>
      <c r="Q551" s="39">
        <v>2015</v>
      </c>
      <c r="R551" s="39" t="s">
        <v>108</v>
      </c>
      <c r="S551" s="39" t="s">
        <v>43</v>
      </c>
      <c r="T551" s="39" t="s">
        <v>133</v>
      </c>
      <c r="U551" s="39">
        <v>38353</v>
      </c>
      <c r="V551" s="39"/>
      <c r="W551" s="39">
        <v>5369</v>
      </c>
    </row>
    <row r="552" spans="1:23">
      <c r="A552" s="39">
        <v>2015</v>
      </c>
      <c r="B552" s="39" t="s">
        <v>108</v>
      </c>
      <c r="C552" s="39" t="s">
        <v>43</v>
      </c>
      <c r="D552" s="39" t="s">
        <v>133</v>
      </c>
      <c r="E552" s="39">
        <v>38353</v>
      </c>
      <c r="F552" s="39"/>
      <c r="G552" s="39">
        <v>5369</v>
      </c>
      <c r="Q552" s="40">
        <v>2015</v>
      </c>
      <c r="R552" s="40" t="s">
        <v>108</v>
      </c>
      <c r="S552" s="40" t="s">
        <v>43</v>
      </c>
      <c r="T552" s="40" t="s">
        <v>134</v>
      </c>
      <c r="U552" s="40">
        <v>28664</v>
      </c>
      <c r="V552" s="40"/>
      <c r="W552" s="40">
        <v>4012</v>
      </c>
    </row>
    <row r="553" spans="1:23">
      <c r="A553" s="40">
        <v>2015</v>
      </c>
      <c r="B553" s="40" t="s">
        <v>108</v>
      </c>
      <c r="C553" s="40" t="s">
        <v>43</v>
      </c>
      <c r="D553" s="40" t="s">
        <v>134</v>
      </c>
      <c r="E553" s="40">
        <v>28664</v>
      </c>
      <c r="F553" s="40"/>
      <c r="G553" s="40">
        <v>4012</v>
      </c>
      <c r="Q553" s="39">
        <v>2015</v>
      </c>
      <c r="R553" s="39" t="s">
        <v>108</v>
      </c>
      <c r="S553" s="39" t="s">
        <v>43</v>
      </c>
      <c r="T553" s="39" t="s">
        <v>135</v>
      </c>
      <c r="U553" s="39">
        <v>25586</v>
      </c>
      <c r="V553" s="39"/>
      <c r="W553" s="39">
        <v>3582</v>
      </c>
    </row>
    <row r="554" spans="1:23">
      <c r="A554" s="39">
        <v>2015</v>
      </c>
      <c r="B554" s="39" t="s">
        <v>108</v>
      </c>
      <c r="C554" s="39" t="s">
        <v>43</v>
      </c>
      <c r="D554" s="39" t="s">
        <v>135</v>
      </c>
      <c r="E554" s="39">
        <v>25586</v>
      </c>
      <c r="F554" s="39"/>
      <c r="G554" s="39">
        <v>3582</v>
      </c>
      <c r="Q554" s="40">
        <v>2015</v>
      </c>
      <c r="R554" s="40" t="s">
        <v>108</v>
      </c>
      <c r="S554" s="40" t="s">
        <v>43</v>
      </c>
      <c r="T554" s="40" t="s">
        <v>136</v>
      </c>
      <c r="U554" s="40">
        <v>18566</v>
      </c>
      <c r="V554" s="40"/>
      <c r="W554" s="40">
        <v>2599</v>
      </c>
    </row>
    <row r="555" spans="1:23">
      <c r="A555" s="40">
        <v>2015</v>
      </c>
      <c r="B555" s="40" t="s">
        <v>108</v>
      </c>
      <c r="C555" s="40" t="s">
        <v>43</v>
      </c>
      <c r="D555" s="40" t="s">
        <v>136</v>
      </c>
      <c r="E555" s="40">
        <v>18566</v>
      </c>
      <c r="F555" s="40"/>
      <c r="G555" s="40">
        <v>2599</v>
      </c>
      <c r="Q555" s="39">
        <v>2015</v>
      </c>
      <c r="R555" s="39" t="s">
        <v>108</v>
      </c>
      <c r="S555" s="39" t="s">
        <v>43</v>
      </c>
      <c r="T555" s="39" t="s">
        <v>137</v>
      </c>
      <c r="U555" s="39">
        <v>15114</v>
      </c>
      <c r="V555" s="39"/>
      <c r="W555" s="39">
        <v>2115</v>
      </c>
    </row>
    <row r="556" spans="1:23">
      <c r="A556" s="39">
        <v>2015</v>
      </c>
      <c r="B556" s="39" t="s">
        <v>108</v>
      </c>
      <c r="C556" s="39" t="s">
        <v>43</v>
      </c>
      <c r="D556" s="39" t="s">
        <v>137</v>
      </c>
      <c r="E556" s="39">
        <v>15114</v>
      </c>
      <c r="F556" s="39"/>
      <c r="G556" s="39">
        <v>2115</v>
      </c>
      <c r="Q556" s="40">
        <v>2015</v>
      </c>
      <c r="R556" s="40" t="s">
        <v>108</v>
      </c>
      <c r="S556" s="40" t="s">
        <v>43</v>
      </c>
      <c r="T556" s="40" t="s">
        <v>138</v>
      </c>
      <c r="U556" s="40">
        <v>10938</v>
      </c>
      <c r="V556" s="40"/>
      <c r="W556" s="40">
        <v>1531</v>
      </c>
    </row>
    <row r="557" spans="1:23">
      <c r="A557" s="40">
        <v>2015</v>
      </c>
      <c r="B557" s="40" t="s">
        <v>108</v>
      </c>
      <c r="C557" s="40" t="s">
        <v>43</v>
      </c>
      <c r="D557" s="40" t="s">
        <v>138</v>
      </c>
      <c r="E557" s="40">
        <v>10938</v>
      </c>
      <c r="F557" s="40"/>
      <c r="G557" s="40">
        <v>1531</v>
      </c>
      <c r="Q557" s="39">
        <v>2015</v>
      </c>
      <c r="R557" s="39" t="s">
        <v>108</v>
      </c>
      <c r="S557" s="39" t="s">
        <v>43</v>
      </c>
      <c r="T557" s="39" t="s">
        <v>139</v>
      </c>
      <c r="U557" s="39">
        <v>8544</v>
      </c>
      <c r="V557" s="39"/>
      <c r="W557" s="39">
        <v>1196</v>
      </c>
    </row>
    <row r="558" spans="1:23">
      <c r="A558" s="39">
        <v>2015</v>
      </c>
      <c r="B558" s="39" t="s">
        <v>108</v>
      </c>
      <c r="C558" s="39" t="s">
        <v>43</v>
      </c>
      <c r="D558" s="39" t="s">
        <v>139</v>
      </c>
      <c r="E558" s="39">
        <v>8544</v>
      </c>
      <c r="F558" s="39"/>
      <c r="G558" s="39">
        <v>1196</v>
      </c>
      <c r="Q558" s="40">
        <v>2015</v>
      </c>
      <c r="R558" s="40" t="s">
        <v>108</v>
      </c>
      <c r="S558" s="40" t="s">
        <v>43</v>
      </c>
      <c r="T558" s="40" t="s">
        <v>140</v>
      </c>
      <c r="U558" s="40">
        <v>6269</v>
      </c>
      <c r="V558" s="40"/>
      <c r="W558" s="40">
        <v>877</v>
      </c>
    </row>
    <row r="559" spans="1:23">
      <c r="A559" s="40">
        <v>2015</v>
      </c>
      <c r="B559" s="40" t="s">
        <v>108</v>
      </c>
      <c r="C559" s="40" t="s">
        <v>43</v>
      </c>
      <c r="D559" s="40" t="s">
        <v>140</v>
      </c>
      <c r="E559" s="40">
        <v>6269</v>
      </c>
      <c r="F559" s="40"/>
      <c r="G559" s="40">
        <v>877</v>
      </c>
      <c r="Q559" s="39">
        <v>2015</v>
      </c>
      <c r="R559" s="39" t="s">
        <v>108</v>
      </c>
      <c r="S559" s="39" t="s">
        <v>43</v>
      </c>
      <c r="T559" s="39" t="s">
        <v>141</v>
      </c>
      <c r="U559" s="39">
        <v>4216</v>
      </c>
      <c r="V559" s="39"/>
      <c r="W559" s="39">
        <v>590</v>
      </c>
    </row>
    <row r="560" spans="1:23">
      <c r="A560" s="39">
        <v>2015</v>
      </c>
      <c r="B560" s="39" t="s">
        <v>108</v>
      </c>
      <c r="C560" s="39" t="s">
        <v>43</v>
      </c>
      <c r="D560" s="39" t="s">
        <v>141</v>
      </c>
      <c r="E560" s="39">
        <v>4216</v>
      </c>
      <c r="F560" s="39"/>
      <c r="G560" s="39">
        <v>590</v>
      </c>
      <c r="Q560" s="40">
        <v>2015</v>
      </c>
      <c r="R560" s="40" t="s">
        <v>108</v>
      </c>
      <c r="S560" s="40" t="s">
        <v>43</v>
      </c>
      <c r="T560" s="40" t="s">
        <v>142</v>
      </c>
      <c r="U560" s="40">
        <v>4061</v>
      </c>
      <c r="V560" s="40"/>
      <c r="W560" s="40">
        <v>568</v>
      </c>
    </row>
    <row r="561" spans="1:23">
      <c r="A561" s="40">
        <v>2015</v>
      </c>
      <c r="B561" s="40" t="s">
        <v>108</v>
      </c>
      <c r="C561" s="40" t="s">
        <v>43</v>
      </c>
      <c r="D561" s="40" t="s">
        <v>142</v>
      </c>
      <c r="E561" s="40">
        <v>4061</v>
      </c>
      <c r="F561" s="40"/>
      <c r="G561" s="40">
        <v>568</v>
      </c>
      <c r="Q561" s="39">
        <v>2015</v>
      </c>
      <c r="R561" s="39" t="s">
        <v>108</v>
      </c>
      <c r="S561" s="39" t="s">
        <v>43</v>
      </c>
      <c r="T561" s="39" t="s">
        <v>143</v>
      </c>
      <c r="U561" s="39">
        <v>3006</v>
      </c>
      <c r="V561" s="39"/>
      <c r="W561" s="39">
        <v>420</v>
      </c>
    </row>
    <row r="562" spans="1:23">
      <c r="A562" s="39">
        <v>2015</v>
      </c>
      <c r="B562" s="39" t="s">
        <v>108</v>
      </c>
      <c r="C562" s="39" t="s">
        <v>43</v>
      </c>
      <c r="D562" s="39" t="s">
        <v>143</v>
      </c>
      <c r="E562" s="39">
        <v>3006</v>
      </c>
      <c r="F562" s="39"/>
      <c r="G562" s="39">
        <v>420</v>
      </c>
      <c r="Q562" s="40">
        <v>2015</v>
      </c>
      <c r="R562" s="40" t="s">
        <v>108</v>
      </c>
      <c r="S562" s="40" t="s">
        <v>43</v>
      </c>
      <c r="T562" s="40" t="s">
        <v>144</v>
      </c>
      <c r="U562" s="40">
        <v>2152</v>
      </c>
      <c r="V562" s="40"/>
      <c r="W562" s="40">
        <v>365</v>
      </c>
    </row>
    <row r="563" spans="1:23">
      <c r="A563" s="40">
        <v>2015</v>
      </c>
      <c r="B563" s="40" t="s">
        <v>108</v>
      </c>
      <c r="C563" s="40" t="s">
        <v>43</v>
      </c>
      <c r="D563" s="40" t="s">
        <v>144</v>
      </c>
      <c r="E563" s="40">
        <v>2152</v>
      </c>
      <c r="F563" s="40"/>
      <c r="G563" s="40">
        <v>365</v>
      </c>
      <c r="Q563" s="39">
        <v>2015</v>
      </c>
      <c r="R563" s="39" t="s">
        <v>108</v>
      </c>
      <c r="S563" s="39" t="s">
        <v>43</v>
      </c>
      <c r="T563" s="39" t="s">
        <v>148</v>
      </c>
      <c r="U563" s="39">
        <v>2835</v>
      </c>
      <c r="V563" s="39"/>
      <c r="W563" s="39">
        <v>481</v>
      </c>
    </row>
    <row r="564" spans="1:23">
      <c r="A564" s="39">
        <v>2015</v>
      </c>
      <c r="B564" s="39" t="s">
        <v>108</v>
      </c>
      <c r="C564" s="39" t="s">
        <v>43</v>
      </c>
      <c r="D564" s="39" t="s">
        <v>148</v>
      </c>
      <c r="E564" s="39">
        <v>2835</v>
      </c>
      <c r="F564" s="39"/>
      <c r="G564" s="39">
        <v>481</v>
      </c>
      <c r="Q564" s="40"/>
      <c r="R564" s="40"/>
      <c r="S564" s="40"/>
      <c r="T564" s="40"/>
      <c r="U564" s="40"/>
      <c r="V564" s="40"/>
      <c r="W564" s="40"/>
    </row>
    <row r="565" spans="1:23">
      <c r="A565" s="40"/>
      <c r="B565" s="40"/>
      <c r="C565" s="40"/>
      <c r="D565" s="40"/>
      <c r="E565" s="40"/>
      <c r="F565" s="40"/>
      <c r="G565" s="40"/>
      <c r="Q565" s="39"/>
      <c r="R565" s="39"/>
      <c r="S565" s="39"/>
      <c r="T565" s="39"/>
      <c r="U565" s="39"/>
      <c r="V565" s="39"/>
      <c r="W565" s="39"/>
    </row>
    <row r="566" spans="1:23">
      <c r="A566" s="39"/>
      <c r="B566" s="39"/>
      <c r="C566" s="39"/>
      <c r="D566" s="39"/>
      <c r="E566" s="39"/>
      <c r="F566" s="39"/>
      <c r="G566" s="39"/>
      <c r="Q566" s="40">
        <v>2015</v>
      </c>
      <c r="R566" s="40" t="s">
        <v>110</v>
      </c>
      <c r="S566" s="40" t="s">
        <v>43</v>
      </c>
      <c r="T566" s="40" t="s">
        <v>130</v>
      </c>
      <c r="U566" s="40">
        <v>173780</v>
      </c>
      <c r="V566" s="40"/>
      <c r="W566" s="40">
        <v>29542</v>
      </c>
    </row>
    <row r="567" spans="1:23">
      <c r="A567" s="40">
        <v>2015</v>
      </c>
      <c r="B567" s="40" t="s">
        <v>110</v>
      </c>
      <c r="C567" s="40" t="s">
        <v>43</v>
      </c>
      <c r="D567" s="40" t="s">
        <v>130</v>
      </c>
      <c r="E567" s="40">
        <v>173780</v>
      </c>
      <c r="F567" s="40"/>
      <c r="G567" s="40">
        <v>29542</v>
      </c>
      <c r="Q567" s="39">
        <v>2015</v>
      </c>
      <c r="R567" s="39" t="s">
        <v>110</v>
      </c>
      <c r="S567" s="39" t="s">
        <v>43</v>
      </c>
      <c r="T567" s="39" t="s">
        <v>131</v>
      </c>
      <c r="U567" s="39">
        <v>146960</v>
      </c>
      <c r="V567" s="39"/>
      <c r="W567" s="39">
        <v>20574</v>
      </c>
    </row>
    <row r="568" spans="1:23">
      <c r="A568" s="39">
        <v>2015</v>
      </c>
      <c r="B568" s="39" t="s">
        <v>110</v>
      </c>
      <c r="C568" s="39" t="s">
        <v>43</v>
      </c>
      <c r="D568" s="39" t="s">
        <v>131</v>
      </c>
      <c r="E568" s="39">
        <v>146960</v>
      </c>
      <c r="F568" s="39"/>
      <c r="G568" s="39">
        <v>20574</v>
      </c>
      <c r="Q568" s="40">
        <v>2015</v>
      </c>
      <c r="R568" s="40" t="s">
        <v>110</v>
      </c>
      <c r="S568" s="40" t="s">
        <v>43</v>
      </c>
      <c r="T568" s="40" t="s">
        <v>132</v>
      </c>
      <c r="U568" s="40">
        <v>116133</v>
      </c>
      <c r="V568" s="40"/>
      <c r="W568" s="40">
        <v>16258</v>
      </c>
    </row>
    <row r="569" spans="1:23">
      <c r="A569" s="40">
        <v>2015</v>
      </c>
      <c r="B569" s="40" t="s">
        <v>110</v>
      </c>
      <c r="C569" s="40" t="s">
        <v>43</v>
      </c>
      <c r="D569" s="40" t="s">
        <v>132</v>
      </c>
      <c r="E569" s="40">
        <v>116133</v>
      </c>
      <c r="F569" s="40"/>
      <c r="G569" s="40">
        <v>16258</v>
      </c>
      <c r="Q569" s="39">
        <v>2015</v>
      </c>
      <c r="R569" s="39" t="s">
        <v>110</v>
      </c>
      <c r="S569" s="39" t="s">
        <v>43</v>
      </c>
      <c r="T569" s="39" t="s">
        <v>117</v>
      </c>
      <c r="U569" s="39">
        <v>104719</v>
      </c>
      <c r="V569" s="39"/>
      <c r="W569" s="39">
        <v>14660</v>
      </c>
    </row>
    <row r="570" spans="1:23">
      <c r="A570" s="39">
        <v>2015</v>
      </c>
      <c r="B570" s="39" t="s">
        <v>110</v>
      </c>
      <c r="C570" s="39" t="s">
        <v>43</v>
      </c>
      <c r="D570" s="39" t="s">
        <v>117</v>
      </c>
      <c r="E570" s="39">
        <v>104719</v>
      </c>
      <c r="F570" s="39"/>
      <c r="G570" s="39">
        <v>14660</v>
      </c>
      <c r="Q570" s="40">
        <v>2015</v>
      </c>
      <c r="R570" s="40" t="s">
        <v>110</v>
      </c>
      <c r="S570" s="40" t="s">
        <v>43</v>
      </c>
      <c r="T570" s="40" t="s">
        <v>133</v>
      </c>
      <c r="U570" s="40">
        <v>89854</v>
      </c>
      <c r="V570" s="40"/>
      <c r="W570" s="40">
        <v>12579</v>
      </c>
    </row>
    <row r="571" spans="1:23">
      <c r="A571" s="40">
        <v>2015</v>
      </c>
      <c r="B571" s="40" t="s">
        <v>110</v>
      </c>
      <c r="C571" s="40" t="s">
        <v>43</v>
      </c>
      <c r="D571" s="40" t="s">
        <v>133</v>
      </c>
      <c r="E571" s="40">
        <v>89854</v>
      </c>
      <c r="F571" s="40"/>
      <c r="G571" s="40">
        <v>12579</v>
      </c>
      <c r="Q571" s="39">
        <v>2015</v>
      </c>
      <c r="R571" s="39" t="s">
        <v>110</v>
      </c>
      <c r="S571" s="39" t="s">
        <v>43</v>
      </c>
      <c r="T571" s="39" t="s">
        <v>134</v>
      </c>
      <c r="U571" s="39">
        <v>70390</v>
      </c>
      <c r="V571" s="39"/>
      <c r="W571" s="39">
        <v>9854</v>
      </c>
    </row>
    <row r="572" spans="1:23">
      <c r="A572" s="39">
        <v>2015</v>
      </c>
      <c r="B572" s="39" t="s">
        <v>110</v>
      </c>
      <c r="C572" s="39" t="s">
        <v>43</v>
      </c>
      <c r="D572" s="39" t="s">
        <v>134</v>
      </c>
      <c r="E572" s="39">
        <v>70390</v>
      </c>
      <c r="F572" s="39"/>
      <c r="G572" s="39">
        <v>9854</v>
      </c>
      <c r="Q572" s="40">
        <v>2015</v>
      </c>
      <c r="R572" s="40" t="s">
        <v>110</v>
      </c>
      <c r="S572" s="40" t="s">
        <v>43</v>
      </c>
      <c r="T572" s="40" t="s">
        <v>135</v>
      </c>
      <c r="U572" s="40">
        <v>59546</v>
      </c>
      <c r="V572" s="40"/>
      <c r="W572" s="40">
        <v>8336</v>
      </c>
    </row>
    <row r="573" spans="1:23">
      <c r="A573" s="40">
        <v>2015</v>
      </c>
      <c r="B573" s="40" t="s">
        <v>110</v>
      </c>
      <c r="C573" s="40" t="s">
        <v>43</v>
      </c>
      <c r="D573" s="40" t="s">
        <v>135</v>
      </c>
      <c r="E573" s="40">
        <v>59546</v>
      </c>
      <c r="F573" s="40"/>
      <c r="G573" s="40">
        <v>8336</v>
      </c>
      <c r="Q573" s="39">
        <v>2015</v>
      </c>
      <c r="R573" s="39" t="s">
        <v>110</v>
      </c>
      <c r="S573" s="39" t="s">
        <v>43</v>
      </c>
      <c r="T573" s="39" t="s">
        <v>136</v>
      </c>
      <c r="U573" s="39">
        <v>46013</v>
      </c>
      <c r="V573" s="39"/>
      <c r="W573" s="39">
        <v>6441</v>
      </c>
    </row>
    <row r="574" spans="1:23">
      <c r="A574" s="39">
        <v>2015</v>
      </c>
      <c r="B574" s="39" t="s">
        <v>110</v>
      </c>
      <c r="C574" s="39" t="s">
        <v>43</v>
      </c>
      <c r="D574" s="39" t="s">
        <v>136</v>
      </c>
      <c r="E574" s="39">
        <v>46013</v>
      </c>
      <c r="F574" s="39"/>
      <c r="G574" s="39">
        <v>6441</v>
      </c>
      <c r="Q574" s="40">
        <v>2015</v>
      </c>
      <c r="R574" s="40" t="s">
        <v>110</v>
      </c>
      <c r="S574" s="40" t="s">
        <v>43</v>
      </c>
      <c r="T574" s="40" t="s">
        <v>137</v>
      </c>
      <c r="U574" s="40">
        <v>34801</v>
      </c>
      <c r="V574" s="40"/>
      <c r="W574" s="40">
        <v>4872</v>
      </c>
    </row>
    <row r="575" spans="1:23">
      <c r="A575" s="40">
        <v>2015</v>
      </c>
      <c r="B575" s="40" t="s">
        <v>110</v>
      </c>
      <c r="C575" s="40" t="s">
        <v>43</v>
      </c>
      <c r="D575" s="40" t="s">
        <v>137</v>
      </c>
      <c r="E575" s="40">
        <v>34801</v>
      </c>
      <c r="F575" s="40"/>
      <c r="G575" s="40">
        <v>4872</v>
      </c>
      <c r="Q575" s="39">
        <v>2015</v>
      </c>
      <c r="R575" s="39" t="s">
        <v>110</v>
      </c>
      <c r="S575" s="39" t="s">
        <v>43</v>
      </c>
      <c r="T575" s="39" t="s">
        <v>138</v>
      </c>
      <c r="U575" s="39">
        <v>24341</v>
      </c>
      <c r="V575" s="39"/>
      <c r="W575" s="39">
        <v>3407</v>
      </c>
    </row>
    <row r="576" spans="1:23">
      <c r="A576" s="39">
        <v>2015</v>
      </c>
      <c r="B576" s="39" t="s">
        <v>110</v>
      </c>
      <c r="C576" s="39" t="s">
        <v>43</v>
      </c>
      <c r="D576" s="39" t="s">
        <v>138</v>
      </c>
      <c r="E576" s="39">
        <v>24341</v>
      </c>
      <c r="F576" s="39"/>
      <c r="G576" s="39">
        <v>3407</v>
      </c>
      <c r="Q576" s="40">
        <v>2015</v>
      </c>
      <c r="R576" s="40" t="s">
        <v>110</v>
      </c>
      <c r="S576" s="40" t="s">
        <v>43</v>
      </c>
      <c r="T576" s="40" t="s">
        <v>139</v>
      </c>
      <c r="U576" s="40">
        <v>19533</v>
      </c>
      <c r="V576" s="40"/>
      <c r="W576" s="40">
        <v>2734</v>
      </c>
    </row>
    <row r="577" spans="1:23">
      <c r="A577" s="40">
        <v>2015</v>
      </c>
      <c r="B577" s="40" t="s">
        <v>110</v>
      </c>
      <c r="C577" s="40" t="s">
        <v>43</v>
      </c>
      <c r="D577" s="40" t="s">
        <v>139</v>
      </c>
      <c r="E577" s="40">
        <v>19533</v>
      </c>
      <c r="F577" s="40"/>
      <c r="G577" s="40">
        <v>2734</v>
      </c>
      <c r="Q577" s="39">
        <v>2015</v>
      </c>
      <c r="R577" s="39" t="s">
        <v>110</v>
      </c>
      <c r="S577" s="39" t="s">
        <v>43</v>
      </c>
      <c r="T577" s="39" t="s">
        <v>140</v>
      </c>
      <c r="U577" s="39">
        <v>15004</v>
      </c>
      <c r="V577" s="39"/>
      <c r="W577" s="39">
        <v>2100</v>
      </c>
    </row>
    <row r="578" spans="1:23">
      <c r="A578" s="39">
        <v>2015</v>
      </c>
      <c r="B578" s="39" t="s">
        <v>110</v>
      </c>
      <c r="C578" s="39" t="s">
        <v>43</v>
      </c>
      <c r="D578" s="39" t="s">
        <v>140</v>
      </c>
      <c r="E578" s="39">
        <v>15004</v>
      </c>
      <c r="F578" s="39"/>
      <c r="G578" s="39">
        <v>2100</v>
      </c>
      <c r="Q578" s="40">
        <v>2015</v>
      </c>
      <c r="R578" s="40" t="s">
        <v>110</v>
      </c>
      <c r="S578" s="40" t="s">
        <v>43</v>
      </c>
      <c r="T578" s="40" t="s">
        <v>141</v>
      </c>
      <c r="U578" s="40">
        <v>9267</v>
      </c>
      <c r="V578" s="40"/>
      <c r="W578" s="40">
        <v>1297</v>
      </c>
    </row>
    <row r="579" spans="1:23">
      <c r="A579" s="40">
        <v>2015</v>
      </c>
      <c r="B579" s="40" t="s">
        <v>110</v>
      </c>
      <c r="C579" s="40" t="s">
        <v>43</v>
      </c>
      <c r="D579" s="40" t="s">
        <v>141</v>
      </c>
      <c r="E579" s="40">
        <v>9267</v>
      </c>
      <c r="F579" s="40"/>
      <c r="G579" s="40">
        <v>1297</v>
      </c>
      <c r="Q579" s="39">
        <v>2015</v>
      </c>
      <c r="R579" s="39" t="s">
        <v>110</v>
      </c>
      <c r="S579" s="39" t="s">
        <v>43</v>
      </c>
      <c r="T579" s="39" t="s">
        <v>142</v>
      </c>
      <c r="U579" s="39">
        <v>8774</v>
      </c>
      <c r="V579" s="39"/>
      <c r="W579" s="39">
        <v>1228</v>
      </c>
    </row>
    <row r="580" spans="1:23">
      <c r="A580" s="39">
        <v>2015</v>
      </c>
      <c r="B580" s="39" t="s">
        <v>110</v>
      </c>
      <c r="C580" s="39" t="s">
        <v>43</v>
      </c>
      <c r="D580" s="39" t="s">
        <v>142</v>
      </c>
      <c r="E580" s="39">
        <v>8774</v>
      </c>
      <c r="F580" s="39"/>
      <c r="G580" s="39">
        <v>1228</v>
      </c>
      <c r="Q580" s="40">
        <v>2015</v>
      </c>
      <c r="R580" s="40" t="s">
        <v>110</v>
      </c>
      <c r="S580" s="40" t="s">
        <v>43</v>
      </c>
      <c r="T580" s="40" t="s">
        <v>143</v>
      </c>
      <c r="U580" s="40">
        <v>6972</v>
      </c>
      <c r="V580" s="40"/>
      <c r="W580" s="40">
        <v>976</v>
      </c>
    </row>
    <row r="581" spans="1:23">
      <c r="A581" s="40">
        <v>2015</v>
      </c>
      <c r="B581" s="40" t="s">
        <v>110</v>
      </c>
      <c r="C581" s="40" t="s">
        <v>43</v>
      </c>
      <c r="D581" s="40" t="s">
        <v>143</v>
      </c>
      <c r="E581" s="40">
        <v>6972</v>
      </c>
      <c r="F581" s="40"/>
      <c r="G581" s="40">
        <v>976</v>
      </c>
      <c r="Q581" s="39">
        <v>2015</v>
      </c>
      <c r="R581" s="39" t="s">
        <v>110</v>
      </c>
      <c r="S581" s="39" t="s">
        <v>43</v>
      </c>
      <c r="T581" s="39" t="s">
        <v>144</v>
      </c>
      <c r="U581" s="39">
        <v>5247</v>
      </c>
      <c r="V581" s="39"/>
      <c r="W581" s="39">
        <v>891</v>
      </c>
    </row>
    <row r="582" spans="1:23">
      <c r="A582" s="39">
        <v>2015</v>
      </c>
      <c r="B582" s="39" t="s">
        <v>110</v>
      </c>
      <c r="C582" s="39" t="s">
        <v>43</v>
      </c>
      <c r="D582" s="39" t="s">
        <v>144</v>
      </c>
      <c r="E582" s="39">
        <v>5247</v>
      </c>
      <c r="F582" s="39"/>
      <c r="G582" s="39">
        <v>891</v>
      </c>
      <c r="Q582" s="40">
        <v>2015</v>
      </c>
      <c r="R582" s="40" t="s">
        <v>110</v>
      </c>
      <c r="S582" s="40" t="s">
        <v>43</v>
      </c>
      <c r="T582" s="40" t="s">
        <v>148</v>
      </c>
      <c r="U582" s="40">
        <v>6643</v>
      </c>
      <c r="V582" s="40"/>
      <c r="W582" s="40">
        <v>1129</v>
      </c>
    </row>
    <row r="583" spans="1:23">
      <c r="A583" s="40">
        <v>2015</v>
      </c>
      <c r="B583" s="40" t="s">
        <v>110</v>
      </c>
      <c r="C583" s="40" t="s">
        <v>43</v>
      </c>
      <c r="D583" s="40" t="s">
        <v>148</v>
      </c>
      <c r="E583" s="40">
        <v>6643</v>
      </c>
      <c r="F583" s="40"/>
      <c r="G583" s="40">
        <v>1129</v>
      </c>
      <c r="Q583" s="39"/>
      <c r="R583" s="39"/>
      <c r="S583" s="39"/>
      <c r="T583" s="39"/>
      <c r="U583" s="39"/>
      <c r="V583" s="39"/>
      <c r="W583" s="39"/>
    </row>
    <row r="584" spans="1:23">
      <c r="A584" s="39"/>
      <c r="B584" s="39"/>
      <c r="C584" s="39"/>
      <c r="D584" s="39"/>
      <c r="E584" s="39"/>
      <c r="F584" s="39"/>
      <c r="G584" s="39"/>
      <c r="Q584" s="40"/>
      <c r="R584" s="40"/>
      <c r="S584" s="40"/>
      <c r="T584" s="40"/>
      <c r="U584" s="40"/>
      <c r="V584" s="40"/>
      <c r="W584" s="40"/>
    </row>
    <row r="585" spans="1:23">
      <c r="A585" s="40"/>
      <c r="B585" s="40"/>
      <c r="C585" s="40"/>
      <c r="D585" s="40"/>
      <c r="E585" s="40"/>
      <c r="F585" s="40"/>
      <c r="G585" s="40"/>
      <c r="Q585" s="39">
        <v>2015</v>
      </c>
      <c r="R585" s="39" t="s">
        <v>111</v>
      </c>
      <c r="S585" s="39" t="s">
        <v>43</v>
      </c>
      <c r="T585" s="39" t="s">
        <v>130</v>
      </c>
      <c r="U585" s="39">
        <v>89110</v>
      </c>
      <c r="V585" s="39"/>
      <c r="W585" s="39">
        <v>15148</v>
      </c>
    </row>
    <row r="586" spans="1:23">
      <c r="A586" s="39">
        <v>2015</v>
      </c>
      <c r="B586" s="39" t="s">
        <v>111</v>
      </c>
      <c r="C586" s="39" t="s">
        <v>43</v>
      </c>
      <c r="D586" s="39" t="s">
        <v>130</v>
      </c>
      <c r="E586" s="39">
        <v>89110</v>
      </c>
      <c r="F586" s="39"/>
      <c r="G586" s="39">
        <v>15148</v>
      </c>
      <c r="Q586" s="40">
        <v>2015</v>
      </c>
      <c r="R586" s="40" t="s">
        <v>111</v>
      </c>
      <c r="S586" s="40" t="s">
        <v>43</v>
      </c>
      <c r="T586" s="40" t="s">
        <v>131</v>
      </c>
      <c r="U586" s="40">
        <v>80739</v>
      </c>
      <c r="V586" s="40"/>
      <c r="W586" s="40">
        <v>11303</v>
      </c>
    </row>
    <row r="587" spans="1:23">
      <c r="A587" s="40">
        <v>2015</v>
      </c>
      <c r="B587" s="40" t="s">
        <v>111</v>
      </c>
      <c r="C587" s="40" t="s">
        <v>43</v>
      </c>
      <c r="D587" s="40" t="s">
        <v>131</v>
      </c>
      <c r="E587" s="40">
        <v>80739</v>
      </c>
      <c r="F587" s="40"/>
      <c r="G587" s="40">
        <v>11303</v>
      </c>
      <c r="Q587" s="39">
        <v>2015</v>
      </c>
      <c r="R587" s="39" t="s">
        <v>111</v>
      </c>
      <c r="S587" s="39" t="s">
        <v>43</v>
      </c>
      <c r="T587" s="39" t="s">
        <v>132</v>
      </c>
      <c r="U587" s="39">
        <v>67818</v>
      </c>
      <c r="V587" s="39"/>
      <c r="W587" s="39">
        <v>9494</v>
      </c>
    </row>
    <row r="588" spans="1:23">
      <c r="A588" s="39">
        <v>2015</v>
      </c>
      <c r="B588" s="39" t="s">
        <v>111</v>
      </c>
      <c r="C588" s="39" t="s">
        <v>43</v>
      </c>
      <c r="D588" s="39" t="s">
        <v>132</v>
      </c>
      <c r="E588" s="39">
        <v>67818</v>
      </c>
      <c r="F588" s="39"/>
      <c r="G588" s="39">
        <v>9494</v>
      </c>
      <c r="Q588" s="40">
        <v>2015</v>
      </c>
      <c r="R588" s="40" t="s">
        <v>111</v>
      </c>
      <c r="S588" s="40" t="s">
        <v>43</v>
      </c>
      <c r="T588" s="40" t="s">
        <v>117</v>
      </c>
      <c r="U588" s="40">
        <v>54584</v>
      </c>
      <c r="V588" s="40"/>
      <c r="W588" s="40">
        <v>7641</v>
      </c>
    </row>
    <row r="589" spans="1:23">
      <c r="A589" s="40">
        <v>2015</v>
      </c>
      <c r="B589" s="40" t="s">
        <v>111</v>
      </c>
      <c r="C589" s="40" t="s">
        <v>43</v>
      </c>
      <c r="D589" s="40" t="s">
        <v>117</v>
      </c>
      <c r="E589" s="40">
        <v>54584</v>
      </c>
      <c r="F589" s="40"/>
      <c r="G589" s="40">
        <v>7641</v>
      </c>
      <c r="Q589" s="39">
        <v>2015</v>
      </c>
      <c r="R589" s="39" t="s">
        <v>111</v>
      </c>
      <c r="S589" s="39" t="s">
        <v>43</v>
      </c>
      <c r="T589" s="39" t="s">
        <v>133</v>
      </c>
      <c r="U589" s="39">
        <v>44970</v>
      </c>
      <c r="V589" s="39"/>
      <c r="W589" s="39">
        <v>6295</v>
      </c>
    </row>
    <row r="590" spans="1:23">
      <c r="A590" s="39">
        <v>2015</v>
      </c>
      <c r="B590" s="39" t="s">
        <v>111</v>
      </c>
      <c r="C590" s="39" t="s">
        <v>43</v>
      </c>
      <c r="D590" s="39" t="s">
        <v>133</v>
      </c>
      <c r="E590" s="39">
        <v>44970</v>
      </c>
      <c r="F590" s="39"/>
      <c r="G590" s="39">
        <v>6295</v>
      </c>
      <c r="Q590" s="40">
        <v>2015</v>
      </c>
      <c r="R590" s="40" t="s">
        <v>111</v>
      </c>
      <c r="S590" s="40" t="s">
        <v>43</v>
      </c>
      <c r="T590" s="40" t="s">
        <v>134</v>
      </c>
      <c r="U590" s="40">
        <v>36441</v>
      </c>
      <c r="V590" s="40"/>
      <c r="W590" s="40">
        <v>5101</v>
      </c>
    </row>
    <row r="591" spans="1:23">
      <c r="A591" s="40">
        <v>2015</v>
      </c>
      <c r="B591" s="40" t="s">
        <v>111</v>
      </c>
      <c r="C591" s="40" t="s">
        <v>43</v>
      </c>
      <c r="D591" s="40" t="s">
        <v>134</v>
      </c>
      <c r="E591" s="40">
        <v>36441</v>
      </c>
      <c r="F591" s="40"/>
      <c r="G591" s="40">
        <v>5101</v>
      </c>
      <c r="Q591" s="39">
        <v>2015</v>
      </c>
      <c r="R591" s="39" t="s">
        <v>111</v>
      </c>
      <c r="S591" s="39" t="s">
        <v>43</v>
      </c>
      <c r="T591" s="39" t="s">
        <v>135</v>
      </c>
      <c r="U591" s="39">
        <v>30948</v>
      </c>
      <c r="V591" s="39"/>
      <c r="W591" s="39">
        <v>4332</v>
      </c>
    </row>
    <row r="592" spans="1:23">
      <c r="A592" s="39">
        <v>2015</v>
      </c>
      <c r="B592" s="39" t="s">
        <v>111</v>
      </c>
      <c r="C592" s="39" t="s">
        <v>43</v>
      </c>
      <c r="D592" s="39" t="s">
        <v>135</v>
      </c>
      <c r="E592" s="39">
        <v>30948</v>
      </c>
      <c r="F592" s="39"/>
      <c r="G592" s="39">
        <v>4332</v>
      </c>
      <c r="Q592" s="40">
        <v>2015</v>
      </c>
      <c r="R592" s="40" t="s">
        <v>111</v>
      </c>
      <c r="S592" s="40" t="s">
        <v>43</v>
      </c>
      <c r="T592" s="40" t="s">
        <v>136</v>
      </c>
      <c r="U592" s="40">
        <v>23732</v>
      </c>
      <c r="V592" s="40"/>
      <c r="W592" s="40">
        <v>3322</v>
      </c>
    </row>
    <row r="593" spans="1:23">
      <c r="A593" s="40">
        <v>2015</v>
      </c>
      <c r="B593" s="40" t="s">
        <v>111</v>
      </c>
      <c r="C593" s="40" t="s">
        <v>43</v>
      </c>
      <c r="D593" s="40" t="s">
        <v>136</v>
      </c>
      <c r="E593" s="40">
        <v>23732</v>
      </c>
      <c r="F593" s="40"/>
      <c r="G593" s="40">
        <v>3322</v>
      </c>
      <c r="Q593" s="39">
        <v>2015</v>
      </c>
      <c r="R593" s="39" t="s">
        <v>111</v>
      </c>
      <c r="S593" s="39" t="s">
        <v>43</v>
      </c>
      <c r="T593" s="39" t="s">
        <v>137</v>
      </c>
      <c r="U593" s="39">
        <v>19002</v>
      </c>
      <c r="V593" s="39"/>
      <c r="W593" s="39">
        <v>2660</v>
      </c>
    </row>
    <row r="594" spans="1:23">
      <c r="A594" s="39">
        <v>2015</v>
      </c>
      <c r="B594" s="39" t="s">
        <v>111</v>
      </c>
      <c r="C594" s="39" t="s">
        <v>43</v>
      </c>
      <c r="D594" s="39" t="s">
        <v>137</v>
      </c>
      <c r="E594" s="39">
        <v>19002</v>
      </c>
      <c r="F594" s="39"/>
      <c r="G594" s="39">
        <v>2660</v>
      </c>
      <c r="Q594" s="40">
        <v>2015</v>
      </c>
      <c r="R594" s="40" t="s">
        <v>111</v>
      </c>
      <c r="S594" s="40" t="s">
        <v>43</v>
      </c>
      <c r="T594" s="40" t="s">
        <v>138</v>
      </c>
      <c r="U594" s="40">
        <v>14082</v>
      </c>
      <c r="V594" s="40"/>
      <c r="W594" s="40">
        <v>1971</v>
      </c>
    </row>
    <row r="595" spans="1:23">
      <c r="A595" s="40">
        <v>2015</v>
      </c>
      <c r="B595" s="40" t="s">
        <v>111</v>
      </c>
      <c r="C595" s="40" t="s">
        <v>43</v>
      </c>
      <c r="D595" s="40" t="s">
        <v>138</v>
      </c>
      <c r="E595" s="40">
        <v>14082</v>
      </c>
      <c r="F595" s="40"/>
      <c r="G595" s="40">
        <v>1971</v>
      </c>
      <c r="Q595" s="39">
        <v>2015</v>
      </c>
      <c r="R595" s="39" t="s">
        <v>111</v>
      </c>
      <c r="S595" s="39" t="s">
        <v>43</v>
      </c>
      <c r="T595" s="39" t="s">
        <v>139</v>
      </c>
      <c r="U595" s="39">
        <v>12365</v>
      </c>
      <c r="V595" s="39"/>
      <c r="W595" s="39">
        <v>1731</v>
      </c>
    </row>
    <row r="596" spans="1:23">
      <c r="A596" s="39">
        <v>2015</v>
      </c>
      <c r="B596" s="39" t="s">
        <v>111</v>
      </c>
      <c r="C596" s="39" t="s">
        <v>43</v>
      </c>
      <c r="D596" s="39" t="s">
        <v>139</v>
      </c>
      <c r="E596" s="39">
        <v>12365</v>
      </c>
      <c r="F596" s="39"/>
      <c r="G596" s="39">
        <v>1731</v>
      </c>
      <c r="Q596" s="40">
        <v>2015</v>
      </c>
      <c r="R596" s="40" t="s">
        <v>111</v>
      </c>
      <c r="S596" s="40" t="s">
        <v>43</v>
      </c>
      <c r="T596" s="40" t="s">
        <v>140</v>
      </c>
      <c r="U596" s="40">
        <v>10657</v>
      </c>
      <c r="V596" s="40"/>
      <c r="W596" s="40">
        <v>1491</v>
      </c>
    </row>
    <row r="597" spans="1:23">
      <c r="A597" s="40">
        <v>2015</v>
      </c>
      <c r="B597" s="40" t="s">
        <v>111</v>
      </c>
      <c r="C597" s="40" t="s">
        <v>43</v>
      </c>
      <c r="D597" s="40" t="s">
        <v>140</v>
      </c>
      <c r="E597" s="40">
        <v>10657</v>
      </c>
      <c r="F597" s="40"/>
      <c r="G597" s="40">
        <v>1491</v>
      </c>
      <c r="Q597" s="39">
        <v>2015</v>
      </c>
      <c r="R597" s="39" t="s">
        <v>111</v>
      </c>
      <c r="S597" s="39" t="s">
        <v>43</v>
      </c>
      <c r="T597" s="39" t="s">
        <v>141</v>
      </c>
      <c r="U597" s="39">
        <v>7186</v>
      </c>
      <c r="V597" s="39"/>
      <c r="W597" s="39">
        <v>1006</v>
      </c>
    </row>
    <row r="598" spans="1:23">
      <c r="A598" s="39">
        <v>2015</v>
      </c>
      <c r="B598" s="39" t="s">
        <v>111</v>
      </c>
      <c r="C598" s="39" t="s">
        <v>43</v>
      </c>
      <c r="D598" s="39" t="s">
        <v>141</v>
      </c>
      <c r="E598" s="39">
        <v>7186</v>
      </c>
      <c r="F598" s="39"/>
      <c r="G598" s="39">
        <v>1006</v>
      </c>
      <c r="Q598" s="40">
        <v>2015</v>
      </c>
      <c r="R598" s="40" t="s">
        <v>111</v>
      </c>
      <c r="S598" s="40" t="s">
        <v>43</v>
      </c>
      <c r="T598" s="40" t="s">
        <v>142</v>
      </c>
      <c r="U598" s="40">
        <v>7220</v>
      </c>
      <c r="V598" s="40"/>
      <c r="W598" s="40">
        <v>1010</v>
      </c>
    </row>
    <row r="599" spans="1:23">
      <c r="A599" s="40">
        <v>2015</v>
      </c>
      <c r="B599" s="40" t="s">
        <v>111</v>
      </c>
      <c r="C599" s="40" t="s">
        <v>43</v>
      </c>
      <c r="D599" s="40" t="s">
        <v>142</v>
      </c>
      <c r="E599" s="40">
        <v>7220</v>
      </c>
      <c r="F599" s="40"/>
      <c r="G599" s="40">
        <v>1010</v>
      </c>
      <c r="Q599" s="39">
        <v>2015</v>
      </c>
      <c r="R599" s="39" t="s">
        <v>111</v>
      </c>
      <c r="S599" s="39" t="s">
        <v>43</v>
      </c>
      <c r="T599" s="39" t="s">
        <v>143</v>
      </c>
      <c r="U599" s="39">
        <v>5019</v>
      </c>
      <c r="V599" s="39"/>
      <c r="W599" s="39">
        <v>702</v>
      </c>
    </row>
    <row r="600" spans="1:23">
      <c r="A600" s="39">
        <v>2015</v>
      </c>
      <c r="B600" s="39" t="s">
        <v>111</v>
      </c>
      <c r="C600" s="39" t="s">
        <v>43</v>
      </c>
      <c r="D600" s="39" t="s">
        <v>143</v>
      </c>
      <c r="E600" s="39">
        <v>5019</v>
      </c>
      <c r="F600" s="39"/>
      <c r="G600" s="39">
        <v>702</v>
      </c>
      <c r="Q600" s="40">
        <v>2015</v>
      </c>
      <c r="R600" s="40" t="s">
        <v>111</v>
      </c>
      <c r="S600" s="40" t="s">
        <v>43</v>
      </c>
      <c r="T600" s="40" t="s">
        <v>144</v>
      </c>
      <c r="U600" s="40">
        <v>3785</v>
      </c>
      <c r="V600" s="40"/>
      <c r="W600" s="40">
        <v>643</v>
      </c>
    </row>
    <row r="601" spans="1:23">
      <c r="A601" s="40">
        <v>2015</v>
      </c>
      <c r="B601" s="40" t="s">
        <v>111</v>
      </c>
      <c r="C601" s="40" t="s">
        <v>43</v>
      </c>
      <c r="D601" s="40" t="s">
        <v>144</v>
      </c>
      <c r="E601" s="40">
        <v>3785</v>
      </c>
      <c r="F601" s="40"/>
      <c r="G601" s="40">
        <v>643</v>
      </c>
      <c r="Q601" s="39">
        <v>2015</v>
      </c>
      <c r="R601" s="39" t="s">
        <v>111</v>
      </c>
      <c r="S601" s="39" t="s">
        <v>43</v>
      </c>
      <c r="T601" s="39" t="s">
        <v>148</v>
      </c>
      <c r="U601" s="39">
        <v>5562</v>
      </c>
      <c r="V601" s="39"/>
      <c r="W601" s="39">
        <v>945</v>
      </c>
    </row>
    <row r="602" spans="1:23">
      <c r="A602" s="39">
        <v>2015</v>
      </c>
      <c r="B602" s="39" t="s">
        <v>111</v>
      </c>
      <c r="C602" s="39" t="s">
        <v>43</v>
      </c>
      <c r="D602" s="39" t="s">
        <v>148</v>
      </c>
      <c r="E602" s="39">
        <v>5562</v>
      </c>
      <c r="F602" s="39"/>
      <c r="G602" s="39">
        <v>945</v>
      </c>
      <c r="Q602" s="40"/>
      <c r="R602" s="40"/>
      <c r="S602" s="40"/>
      <c r="T602" s="40"/>
      <c r="U602" s="40"/>
      <c r="V602" s="40"/>
      <c r="W602" s="40"/>
    </row>
    <row r="603" spans="1:23">
      <c r="A603" s="40"/>
      <c r="B603" s="40"/>
      <c r="C603" s="40"/>
      <c r="D603" s="40"/>
      <c r="E603" s="40"/>
      <c r="F603" s="40"/>
      <c r="G603" s="40"/>
      <c r="Q603" s="39">
        <v>2015</v>
      </c>
      <c r="R603" s="39" t="s">
        <v>102</v>
      </c>
      <c r="S603" s="39" t="s">
        <v>44</v>
      </c>
      <c r="T603" s="39" t="s">
        <v>130</v>
      </c>
      <c r="U603" s="50">
        <v>143158</v>
      </c>
      <c r="V603" s="39"/>
      <c r="W603" s="39">
        <v>24218</v>
      </c>
    </row>
    <row r="604" spans="1:23">
      <c r="A604" s="39">
        <v>2015</v>
      </c>
      <c r="B604" s="39" t="s">
        <v>102</v>
      </c>
      <c r="C604" s="39" t="s">
        <v>44</v>
      </c>
      <c r="D604" s="39" t="s">
        <v>130</v>
      </c>
      <c r="E604" s="39">
        <v>142461</v>
      </c>
      <c r="F604" s="39"/>
      <c r="G604" s="39">
        <v>24218</v>
      </c>
      <c r="Q604" s="40">
        <v>2015</v>
      </c>
      <c r="R604" s="40" t="s">
        <v>102</v>
      </c>
      <c r="S604" s="40" t="s">
        <v>44</v>
      </c>
      <c r="T604" s="40" t="s">
        <v>131</v>
      </c>
      <c r="U604" s="49">
        <v>117697</v>
      </c>
      <c r="V604" s="40"/>
      <c r="W604" s="40">
        <v>16599</v>
      </c>
    </row>
    <row r="605" spans="1:23">
      <c r="A605" s="40">
        <v>2015</v>
      </c>
      <c r="B605" s="40" t="s">
        <v>102</v>
      </c>
      <c r="C605" s="40" t="s">
        <v>44</v>
      </c>
      <c r="D605" s="40" t="s">
        <v>131</v>
      </c>
      <c r="E605" s="40">
        <v>118565</v>
      </c>
      <c r="F605" s="40"/>
      <c r="G605" s="40">
        <v>16599</v>
      </c>
      <c r="Q605" s="39">
        <v>2015</v>
      </c>
      <c r="R605" s="39" t="s">
        <v>102</v>
      </c>
      <c r="S605" s="39" t="s">
        <v>44</v>
      </c>
      <c r="T605" s="39" t="s">
        <v>132</v>
      </c>
      <c r="U605" s="50">
        <v>100174</v>
      </c>
      <c r="V605" s="39"/>
      <c r="W605" s="39">
        <v>13412</v>
      </c>
    </row>
    <row r="606" spans="1:23">
      <c r="A606" s="39">
        <v>2015</v>
      </c>
      <c r="B606" s="39" t="s">
        <v>102</v>
      </c>
      <c r="C606" s="39" t="s">
        <v>44</v>
      </c>
      <c r="D606" s="39" t="s">
        <v>132</v>
      </c>
      <c r="E606" s="39">
        <v>95800</v>
      </c>
      <c r="F606" s="39"/>
      <c r="G606" s="39">
        <v>13412</v>
      </c>
      <c r="Q606" s="40">
        <v>2015</v>
      </c>
      <c r="R606" s="40" t="s">
        <v>102</v>
      </c>
      <c r="S606" s="40" t="s">
        <v>44</v>
      </c>
      <c r="T606" s="40" t="s">
        <v>117</v>
      </c>
      <c r="U606" s="49">
        <v>87382</v>
      </c>
      <c r="V606" s="40"/>
      <c r="W606" s="40">
        <v>12388</v>
      </c>
    </row>
    <row r="607" spans="1:23">
      <c r="A607" s="40">
        <v>2015</v>
      </c>
      <c r="B607" s="40" t="s">
        <v>102</v>
      </c>
      <c r="C607" s="40" t="s">
        <v>44</v>
      </c>
      <c r="D607" s="40" t="s">
        <v>117</v>
      </c>
      <c r="E607" s="40">
        <v>88487</v>
      </c>
      <c r="F607" s="40"/>
      <c r="G607" s="40">
        <v>12388</v>
      </c>
      <c r="Q607" s="39">
        <v>2015</v>
      </c>
      <c r="R607" s="39" t="s">
        <v>102</v>
      </c>
      <c r="S607" s="39" t="s">
        <v>44</v>
      </c>
      <c r="T607" s="39" t="s">
        <v>133</v>
      </c>
      <c r="U607" s="50">
        <v>71414</v>
      </c>
      <c r="V607" s="39"/>
      <c r="W607" s="39">
        <v>10272</v>
      </c>
    </row>
    <row r="608" spans="1:23">
      <c r="A608" s="39">
        <v>2015</v>
      </c>
      <c r="B608" s="39" t="s">
        <v>102</v>
      </c>
      <c r="C608" s="39" t="s">
        <v>44</v>
      </c>
      <c r="D608" s="39" t="s">
        <v>133</v>
      </c>
      <c r="E608" s="39">
        <v>73377</v>
      </c>
      <c r="F608" s="39"/>
      <c r="G608" s="39">
        <v>10272</v>
      </c>
      <c r="Q608" s="40">
        <v>2015</v>
      </c>
      <c r="R608" s="40" t="s">
        <v>102</v>
      </c>
      <c r="S608" s="40" t="s">
        <v>44</v>
      </c>
      <c r="T608" s="40" t="s">
        <v>134</v>
      </c>
      <c r="U608" s="49">
        <v>60185</v>
      </c>
      <c r="V608" s="40"/>
      <c r="W608" s="40">
        <v>6946</v>
      </c>
    </row>
    <row r="609" spans="1:23">
      <c r="A609" s="40">
        <v>2015</v>
      </c>
      <c r="B609" s="40" t="s">
        <v>102</v>
      </c>
      <c r="C609" s="40" t="s">
        <v>44</v>
      </c>
      <c r="D609" s="40" t="s">
        <v>134</v>
      </c>
      <c r="E609" s="40">
        <v>49621</v>
      </c>
      <c r="F609" s="40"/>
      <c r="G609" s="40">
        <v>6946</v>
      </c>
      <c r="Q609" s="39">
        <v>2015</v>
      </c>
      <c r="R609" s="39" t="s">
        <v>102</v>
      </c>
      <c r="S609" s="39" t="s">
        <v>44</v>
      </c>
      <c r="T609" s="39" t="s">
        <v>135</v>
      </c>
      <c r="U609" s="50">
        <v>51143</v>
      </c>
      <c r="V609" s="39"/>
      <c r="W609" s="39">
        <v>5538</v>
      </c>
    </row>
    <row r="610" spans="1:23">
      <c r="A610" s="39">
        <v>2015</v>
      </c>
      <c r="B610" s="39" t="s">
        <v>102</v>
      </c>
      <c r="C610" s="39" t="s">
        <v>44</v>
      </c>
      <c r="D610" s="39" t="s">
        <v>135</v>
      </c>
      <c r="E610" s="39">
        <v>39559</v>
      </c>
      <c r="F610" s="39"/>
      <c r="G610" s="39">
        <v>5538</v>
      </c>
      <c r="Q610" s="40">
        <v>2015</v>
      </c>
      <c r="R610" s="40" t="s">
        <v>102</v>
      </c>
      <c r="S610" s="40" t="s">
        <v>44</v>
      </c>
      <c r="T610" s="40" t="s">
        <v>136</v>
      </c>
      <c r="U610" s="49">
        <v>42153</v>
      </c>
      <c r="V610" s="40"/>
      <c r="W610" s="40">
        <v>4788</v>
      </c>
    </row>
    <row r="611" spans="1:23">
      <c r="A611" s="40">
        <v>2015</v>
      </c>
      <c r="B611" s="40" t="s">
        <v>102</v>
      </c>
      <c r="C611" s="40" t="s">
        <v>44</v>
      </c>
      <c r="D611" s="40" t="s">
        <v>136</v>
      </c>
      <c r="E611" s="40">
        <v>34204</v>
      </c>
      <c r="F611" s="40"/>
      <c r="G611" s="40">
        <v>4788</v>
      </c>
      <c r="Q611" s="39">
        <v>2015</v>
      </c>
      <c r="R611" s="39" t="s">
        <v>102</v>
      </c>
      <c r="S611" s="39" t="s">
        <v>44</v>
      </c>
      <c r="T611" s="39" t="s">
        <v>137</v>
      </c>
      <c r="U611" s="50">
        <v>32032</v>
      </c>
      <c r="V611" s="39"/>
      <c r="W611" s="39">
        <v>4229</v>
      </c>
    </row>
    <row r="612" spans="1:23">
      <c r="A612" s="39">
        <v>2015</v>
      </c>
      <c r="B612" s="39" t="s">
        <v>102</v>
      </c>
      <c r="C612" s="39" t="s">
        <v>44</v>
      </c>
      <c r="D612" s="39" t="s">
        <v>137</v>
      </c>
      <c r="E612" s="39">
        <v>30212</v>
      </c>
      <c r="F612" s="39"/>
      <c r="G612" s="39">
        <v>4229</v>
      </c>
      <c r="Q612" s="40">
        <v>2015</v>
      </c>
      <c r="R612" s="40" t="s">
        <v>102</v>
      </c>
      <c r="S612" s="40" t="s">
        <v>44</v>
      </c>
      <c r="T612" s="40" t="s">
        <v>138</v>
      </c>
      <c r="U612" s="49">
        <v>20268</v>
      </c>
      <c r="V612" s="40"/>
      <c r="W612" s="40">
        <v>3047</v>
      </c>
    </row>
    <row r="613" spans="1:23">
      <c r="A613" s="40">
        <v>2015</v>
      </c>
      <c r="B613" s="40" t="s">
        <v>102</v>
      </c>
      <c r="C613" s="40" t="s">
        <v>44</v>
      </c>
      <c r="D613" s="40" t="s">
        <v>138</v>
      </c>
      <c r="E613" s="40">
        <v>21766</v>
      </c>
      <c r="F613" s="40"/>
      <c r="G613" s="40">
        <v>3047</v>
      </c>
      <c r="Q613" s="39">
        <v>2015</v>
      </c>
      <c r="R613" s="39" t="s">
        <v>102</v>
      </c>
      <c r="S613" s="39" t="s">
        <v>44</v>
      </c>
      <c r="T613" s="39" t="s">
        <v>139</v>
      </c>
      <c r="U613" s="50">
        <v>18622</v>
      </c>
      <c r="V613" s="39"/>
      <c r="W613" s="39">
        <v>2286</v>
      </c>
    </row>
    <row r="614" spans="1:23">
      <c r="A614" s="39">
        <v>2015</v>
      </c>
      <c r="B614" s="39" t="s">
        <v>102</v>
      </c>
      <c r="C614" s="39" t="s">
        <v>44</v>
      </c>
      <c r="D614" s="39" t="s">
        <v>139</v>
      </c>
      <c r="E614" s="39">
        <v>16332</v>
      </c>
      <c r="F614" s="39"/>
      <c r="G614" s="39">
        <v>2286</v>
      </c>
      <c r="Q614" s="40">
        <v>2015</v>
      </c>
      <c r="R614" s="40" t="s">
        <v>102</v>
      </c>
      <c r="S614" s="40" t="s">
        <v>44</v>
      </c>
      <c r="T614" s="40" t="s">
        <v>140</v>
      </c>
      <c r="U614" s="49">
        <v>13687</v>
      </c>
      <c r="V614" s="40"/>
      <c r="W614" s="40">
        <v>1719</v>
      </c>
    </row>
    <row r="615" spans="1:23">
      <c r="A615" s="40">
        <v>2015</v>
      </c>
      <c r="B615" s="40" t="s">
        <v>102</v>
      </c>
      <c r="C615" s="40" t="s">
        <v>44</v>
      </c>
      <c r="D615" s="40" t="s">
        <v>140</v>
      </c>
      <c r="E615" s="40">
        <v>12280</v>
      </c>
      <c r="F615" s="40"/>
      <c r="G615" s="40">
        <v>1719</v>
      </c>
      <c r="Q615" s="39">
        <v>2015</v>
      </c>
      <c r="R615" s="39" t="s">
        <v>102</v>
      </c>
      <c r="S615" s="39" t="s">
        <v>44</v>
      </c>
      <c r="T615" s="39" t="s">
        <v>141</v>
      </c>
      <c r="U615" s="50">
        <v>10119</v>
      </c>
      <c r="V615" s="39"/>
      <c r="W615" s="39">
        <v>1205</v>
      </c>
    </row>
    <row r="616" spans="1:23">
      <c r="A616" s="39">
        <v>2015</v>
      </c>
      <c r="B616" s="39" t="s">
        <v>102</v>
      </c>
      <c r="C616" s="39" t="s">
        <v>44</v>
      </c>
      <c r="D616" s="39" t="s">
        <v>141</v>
      </c>
      <c r="E616" s="39">
        <v>8613</v>
      </c>
      <c r="F616" s="39"/>
      <c r="G616" s="39">
        <v>1205</v>
      </c>
      <c r="Q616" s="40">
        <v>2015</v>
      </c>
      <c r="R616" s="40" t="s">
        <v>102</v>
      </c>
      <c r="S616" s="40" t="s">
        <v>44</v>
      </c>
      <c r="T616" s="40" t="s">
        <v>142</v>
      </c>
      <c r="U616" s="49">
        <v>7768</v>
      </c>
      <c r="V616" s="40"/>
      <c r="W616" s="40">
        <v>998</v>
      </c>
    </row>
    <row r="617" spans="1:23">
      <c r="A617" s="40">
        <v>2015</v>
      </c>
      <c r="B617" s="40" t="s">
        <v>102</v>
      </c>
      <c r="C617" s="40" t="s">
        <v>44</v>
      </c>
      <c r="D617" s="40" t="s">
        <v>142</v>
      </c>
      <c r="E617" s="40">
        <v>7131</v>
      </c>
      <c r="F617" s="40"/>
      <c r="G617" s="40">
        <v>998</v>
      </c>
      <c r="Q617" s="39">
        <v>2015</v>
      </c>
      <c r="R617" s="39" t="s">
        <v>102</v>
      </c>
      <c r="S617" s="39" t="s">
        <v>44</v>
      </c>
      <c r="T617" s="39" t="s">
        <v>143</v>
      </c>
      <c r="U617" s="50">
        <v>4782</v>
      </c>
      <c r="V617" s="39"/>
      <c r="W617" s="39">
        <v>705</v>
      </c>
    </row>
    <row r="618" spans="1:23">
      <c r="A618" s="39">
        <v>2015</v>
      </c>
      <c r="B618" s="39" t="s">
        <v>102</v>
      </c>
      <c r="C618" s="39" t="s">
        <v>44</v>
      </c>
      <c r="D618" s="39" t="s">
        <v>143</v>
      </c>
      <c r="E618" s="39">
        <v>5042</v>
      </c>
      <c r="F618" s="39"/>
      <c r="G618" s="39">
        <v>705</v>
      </c>
      <c r="Q618" s="40">
        <v>2015</v>
      </c>
      <c r="R618" s="40" t="s">
        <v>102</v>
      </c>
      <c r="S618" s="40" t="s">
        <v>44</v>
      </c>
      <c r="T618" s="40" t="s">
        <v>144</v>
      </c>
      <c r="U618" s="49">
        <v>2733</v>
      </c>
      <c r="V618" s="40"/>
      <c r="W618" s="40">
        <v>642</v>
      </c>
    </row>
    <row r="619" spans="1:23">
      <c r="A619" s="40">
        <v>2015</v>
      </c>
      <c r="B619" s="40" t="s">
        <v>102</v>
      </c>
      <c r="C619" s="40" t="s">
        <v>44</v>
      </c>
      <c r="D619" s="40" t="s">
        <v>144</v>
      </c>
      <c r="E619" s="40">
        <v>3782</v>
      </c>
      <c r="F619" s="40"/>
      <c r="G619" s="40">
        <v>642</v>
      </c>
      <c r="Q619" s="39">
        <v>2015</v>
      </c>
      <c r="R619" s="39" t="s">
        <v>102</v>
      </c>
      <c r="S619" s="39" t="s">
        <v>44</v>
      </c>
      <c r="T619" s="39" t="s">
        <v>148</v>
      </c>
      <c r="U619" s="50">
        <v>1845</v>
      </c>
      <c r="V619" s="39"/>
      <c r="W619" s="39">
        <v>831</v>
      </c>
    </row>
    <row r="620" spans="1:23">
      <c r="A620" s="39">
        <v>2015</v>
      </c>
      <c r="B620" s="39" t="s">
        <v>102</v>
      </c>
      <c r="C620" s="39" t="s">
        <v>44</v>
      </c>
      <c r="D620" s="39" t="s">
        <v>148</v>
      </c>
      <c r="E620" s="39">
        <v>4891</v>
      </c>
      <c r="F620" s="39"/>
      <c r="G620" s="39">
        <v>831</v>
      </c>
      <c r="Q620" s="40"/>
      <c r="R620" s="40"/>
      <c r="S620" s="40"/>
      <c r="T620" s="40"/>
      <c r="U620" s="40"/>
      <c r="V620" s="40"/>
      <c r="W620" s="40"/>
    </row>
    <row r="621" spans="1:23">
      <c r="A621" s="40"/>
      <c r="B621" s="40"/>
      <c r="C621" s="40"/>
      <c r="D621" s="40"/>
      <c r="E621" s="40"/>
      <c r="F621" s="40"/>
      <c r="G621" s="40"/>
      <c r="Q621" s="39"/>
      <c r="R621" s="39"/>
      <c r="S621" s="39"/>
      <c r="T621" s="39"/>
      <c r="U621" s="39"/>
      <c r="V621" s="39"/>
      <c r="W621" s="39"/>
    </row>
    <row r="622" spans="1:23">
      <c r="A622" s="39"/>
      <c r="B622" s="39"/>
      <c r="C622" s="39"/>
      <c r="D622" s="39"/>
      <c r="E622" s="39"/>
      <c r="F622" s="39"/>
      <c r="G622" s="39"/>
      <c r="Q622" s="40">
        <v>2015</v>
      </c>
      <c r="R622" s="40" t="s">
        <v>103</v>
      </c>
      <c r="S622" s="40" t="s">
        <v>44</v>
      </c>
      <c r="T622" s="40" t="s">
        <v>130</v>
      </c>
      <c r="U622" s="40">
        <v>194947</v>
      </c>
      <c r="V622" s="40"/>
      <c r="W622" s="40">
        <v>33140</v>
      </c>
    </row>
    <row r="623" spans="1:23">
      <c r="A623" s="40">
        <v>2015</v>
      </c>
      <c r="B623" s="40" t="s">
        <v>103</v>
      </c>
      <c r="C623" s="40" t="s">
        <v>44</v>
      </c>
      <c r="D623" s="40" t="s">
        <v>130</v>
      </c>
      <c r="E623" s="40">
        <v>194947</v>
      </c>
      <c r="F623" s="40"/>
      <c r="G623" s="40">
        <v>33140</v>
      </c>
      <c r="Q623" s="39">
        <v>2015</v>
      </c>
      <c r="R623" s="39" t="s">
        <v>103</v>
      </c>
      <c r="S623" s="39" t="s">
        <v>44</v>
      </c>
      <c r="T623" s="39" t="s">
        <v>131</v>
      </c>
      <c r="U623" s="39">
        <v>171493</v>
      </c>
      <c r="V623" s="39"/>
      <c r="W623" s="39">
        <v>24009</v>
      </c>
    </row>
    <row r="624" spans="1:23">
      <c r="A624" s="39">
        <v>2015</v>
      </c>
      <c r="B624" s="39" t="s">
        <v>103</v>
      </c>
      <c r="C624" s="39" t="s">
        <v>44</v>
      </c>
      <c r="D624" s="39" t="s">
        <v>131</v>
      </c>
      <c r="E624" s="39">
        <v>171493</v>
      </c>
      <c r="F624" s="39"/>
      <c r="G624" s="39">
        <v>24009</v>
      </c>
      <c r="Q624" s="40">
        <v>2015</v>
      </c>
      <c r="R624" s="40" t="s">
        <v>103</v>
      </c>
      <c r="S624" s="40" t="s">
        <v>44</v>
      </c>
      <c r="T624" s="40" t="s">
        <v>132</v>
      </c>
      <c r="U624" s="40">
        <v>157078</v>
      </c>
      <c r="V624" s="40"/>
      <c r="W624" s="40">
        <v>21990</v>
      </c>
    </row>
    <row r="625" spans="1:23">
      <c r="A625" s="40">
        <v>2015</v>
      </c>
      <c r="B625" s="40" t="s">
        <v>103</v>
      </c>
      <c r="C625" s="40" t="s">
        <v>44</v>
      </c>
      <c r="D625" s="40" t="s">
        <v>132</v>
      </c>
      <c r="E625" s="40">
        <v>157078</v>
      </c>
      <c r="F625" s="40"/>
      <c r="G625" s="40">
        <v>21990</v>
      </c>
      <c r="Q625" s="39">
        <v>2015</v>
      </c>
      <c r="R625" s="39" t="s">
        <v>103</v>
      </c>
      <c r="S625" s="39" t="s">
        <v>44</v>
      </c>
      <c r="T625" s="39" t="s">
        <v>117</v>
      </c>
      <c r="U625" s="39">
        <v>127218</v>
      </c>
      <c r="V625" s="39"/>
      <c r="W625" s="39">
        <v>17810</v>
      </c>
    </row>
    <row r="626" spans="1:23">
      <c r="A626" s="39">
        <v>2015</v>
      </c>
      <c r="B626" s="39" t="s">
        <v>103</v>
      </c>
      <c r="C626" s="39" t="s">
        <v>44</v>
      </c>
      <c r="D626" s="39" t="s">
        <v>117</v>
      </c>
      <c r="E626" s="39">
        <v>127218</v>
      </c>
      <c r="F626" s="39"/>
      <c r="G626" s="39">
        <v>17810</v>
      </c>
      <c r="Q626" s="40">
        <v>2015</v>
      </c>
      <c r="R626" s="40" t="s">
        <v>103</v>
      </c>
      <c r="S626" s="40" t="s">
        <v>44</v>
      </c>
      <c r="T626" s="40" t="s">
        <v>133</v>
      </c>
      <c r="U626" s="40">
        <v>120462</v>
      </c>
      <c r="V626" s="40"/>
      <c r="W626" s="40">
        <v>16864</v>
      </c>
    </row>
    <row r="627" spans="1:23">
      <c r="A627" s="40">
        <v>2015</v>
      </c>
      <c r="B627" s="40" t="s">
        <v>103</v>
      </c>
      <c r="C627" s="40" t="s">
        <v>44</v>
      </c>
      <c r="D627" s="40" t="s">
        <v>133</v>
      </c>
      <c r="E627" s="40">
        <v>120462</v>
      </c>
      <c r="F627" s="40"/>
      <c r="G627" s="40">
        <v>16864</v>
      </c>
      <c r="Q627" s="39">
        <v>2015</v>
      </c>
      <c r="R627" s="39" t="s">
        <v>103</v>
      </c>
      <c r="S627" s="39" t="s">
        <v>44</v>
      </c>
      <c r="T627" s="39" t="s">
        <v>134</v>
      </c>
      <c r="U627" s="39">
        <v>86599</v>
      </c>
      <c r="V627" s="39"/>
      <c r="W627" s="39">
        <v>12123</v>
      </c>
    </row>
    <row r="628" spans="1:23">
      <c r="A628" s="39">
        <v>2015</v>
      </c>
      <c r="B628" s="39" t="s">
        <v>103</v>
      </c>
      <c r="C628" s="39" t="s">
        <v>44</v>
      </c>
      <c r="D628" s="39" t="s">
        <v>134</v>
      </c>
      <c r="E628" s="39">
        <v>86599</v>
      </c>
      <c r="F628" s="39"/>
      <c r="G628" s="39">
        <v>12123</v>
      </c>
      <c r="Q628" s="40">
        <v>2015</v>
      </c>
      <c r="R628" s="40" t="s">
        <v>103</v>
      </c>
      <c r="S628" s="40" t="s">
        <v>44</v>
      </c>
      <c r="T628" s="40" t="s">
        <v>135</v>
      </c>
      <c r="U628" s="40">
        <v>76073</v>
      </c>
      <c r="V628" s="40"/>
      <c r="W628" s="40">
        <v>10650</v>
      </c>
    </row>
    <row r="629" spans="1:23">
      <c r="A629" s="40">
        <v>2015</v>
      </c>
      <c r="B629" s="40" t="s">
        <v>103</v>
      </c>
      <c r="C629" s="40" t="s">
        <v>44</v>
      </c>
      <c r="D629" s="40" t="s">
        <v>135</v>
      </c>
      <c r="E629" s="40">
        <v>76073</v>
      </c>
      <c r="F629" s="40"/>
      <c r="G629" s="40">
        <v>10650</v>
      </c>
      <c r="Q629" s="39">
        <v>2015</v>
      </c>
      <c r="R629" s="39" t="s">
        <v>103</v>
      </c>
      <c r="S629" s="39" t="s">
        <v>44</v>
      </c>
      <c r="T629" s="39" t="s">
        <v>136</v>
      </c>
      <c r="U629" s="39">
        <v>63006</v>
      </c>
      <c r="V629" s="39"/>
      <c r="W629" s="39">
        <v>8820</v>
      </c>
    </row>
    <row r="630" spans="1:23">
      <c r="A630" s="39">
        <v>2015</v>
      </c>
      <c r="B630" s="39" t="s">
        <v>103</v>
      </c>
      <c r="C630" s="39" t="s">
        <v>44</v>
      </c>
      <c r="D630" s="39" t="s">
        <v>136</v>
      </c>
      <c r="E630" s="39">
        <v>63006</v>
      </c>
      <c r="F630" s="39"/>
      <c r="G630" s="39">
        <v>8820</v>
      </c>
      <c r="Q630" s="40">
        <v>2015</v>
      </c>
      <c r="R630" s="40" t="s">
        <v>103</v>
      </c>
      <c r="S630" s="40" t="s">
        <v>44</v>
      </c>
      <c r="T630" s="40" t="s">
        <v>137</v>
      </c>
      <c r="U630" s="40">
        <v>51419</v>
      </c>
      <c r="V630" s="40"/>
      <c r="W630" s="40">
        <v>7198</v>
      </c>
    </row>
    <row r="631" spans="1:23">
      <c r="A631" s="40">
        <v>2015</v>
      </c>
      <c r="B631" s="40" t="s">
        <v>103</v>
      </c>
      <c r="C631" s="40" t="s">
        <v>44</v>
      </c>
      <c r="D631" s="40" t="s">
        <v>137</v>
      </c>
      <c r="E631" s="40">
        <v>51419</v>
      </c>
      <c r="F631" s="40"/>
      <c r="G631" s="40">
        <v>7198</v>
      </c>
      <c r="Q631" s="39">
        <v>2015</v>
      </c>
      <c r="R631" s="39" t="s">
        <v>103</v>
      </c>
      <c r="S631" s="39" t="s">
        <v>44</v>
      </c>
      <c r="T631" s="39" t="s">
        <v>138</v>
      </c>
      <c r="U631" s="39">
        <v>36597</v>
      </c>
      <c r="V631" s="39"/>
      <c r="W631" s="39">
        <v>5123</v>
      </c>
    </row>
    <row r="632" spans="1:23">
      <c r="A632" s="39">
        <v>2015</v>
      </c>
      <c r="B632" s="39" t="s">
        <v>103</v>
      </c>
      <c r="C632" s="39" t="s">
        <v>44</v>
      </c>
      <c r="D632" s="39" t="s">
        <v>138</v>
      </c>
      <c r="E632" s="39">
        <v>36597</v>
      </c>
      <c r="F632" s="39"/>
      <c r="G632" s="39">
        <v>5123</v>
      </c>
      <c r="Q632" s="40">
        <v>2015</v>
      </c>
      <c r="R632" s="40" t="s">
        <v>103</v>
      </c>
      <c r="S632" s="40" t="s">
        <v>44</v>
      </c>
      <c r="T632" s="40" t="s">
        <v>139</v>
      </c>
      <c r="U632" s="40">
        <v>27969</v>
      </c>
      <c r="V632" s="40"/>
      <c r="W632" s="40">
        <v>3915</v>
      </c>
    </row>
    <row r="633" spans="1:23">
      <c r="A633" s="40">
        <v>2015</v>
      </c>
      <c r="B633" s="40" t="s">
        <v>103</v>
      </c>
      <c r="C633" s="40" t="s">
        <v>44</v>
      </c>
      <c r="D633" s="40" t="s">
        <v>139</v>
      </c>
      <c r="E633" s="40">
        <v>27969</v>
      </c>
      <c r="F633" s="40"/>
      <c r="G633" s="40">
        <v>3915</v>
      </c>
      <c r="Q633" s="39">
        <v>2015</v>
      </c>
      <c r="R633" s="39" t="s">
        <v>103</v>
      </c>
      <c r="S633" s="39" t="s">
        <v>44</v>
      </c>
      <c r="T633" s="39" t="s">
        <v>140</v>
      </c>
      <c r="U633" s="39">
        <v>21847</v>
      </c>
      <c r="V633" s="39"/>
      <c r="W633" s="39">
        <v>3058</v>
      </c>
    </row>
    <row r="634" spans="1:23">
      <c r="A634" s="39">
        <v>2015</v>
      </c>
      <c r="B634" s="39" t="s">
        <v>103</v>
      </c>
      <c r="C634" s="39" t="s">
        <v>44</v>
      </c>
      <c r="D634" s="39" t="s">
        <v>140</v>
      </c>
      <c r="E634" s="39">
        <v>21847</v>
      </c>
      <c r="F634" s="39"/>
      <c r="G634" s="39">
        <v>3058</v>
      </c>
      <c r="Q634" s="40">
        <v>2015</v>
      </c>
      <c r="R634" s="40" t="s">
        <v>103</v>
      </c>
      <c r="S634" s="40" t="s">
        <v>44</v>
      </c>
      <c r="T634" s="40" t="s">
        <v>141</v>
      </c>
      <c r="U634" s="40">
        <v>16207</v>
      </c>
      <c r="V634" s="40"/>
      <c r="W634" s="40">
        <v>2268</v>
      </c>
    </row>
    <row r="635" spans="1:23">
      <c r="A635" s="40">
        <v>2015</v>
      </c>
      <c r="B635" s="40" t="s">
        <v>103</v>
      </c>
      <c r="C635" s="40" t="s">
        <v>44</v>
      </c>
      <c r="D635" s="40" t="s">
        <v>141</v>
      </c>
      <c r="E635" s="40">
        <v>16207</v>
      </c>
      <c r="F635" s="40"/>
      <c r="G635" s="40">
        <v>2268</v>
      </c>
      <c r="Q635" s="39">
        <v>2015</v>
      </c>
      <c r="R635" s="39" t="s">
        <v>103</v>
      </c>
      <c r="S635" s="39" t="s">
        <v>44</v>
      </c>
      <c r="T635" s="39" t="s">
        <v>142</v>
      </c>
      <c r="U635" s="39">
        <v>11927</v>
      </c>
      <c r="V635" s="39"/>
      <c r="W635" s="39">
        <v>1669</v>
      </c>
    </row>
    <row r="636" spans="1:23">
      <c r="A636" s="39">
        <v>2015</v>
      </c>
      <c r="B636" s="39" t="s">
        <v>103</v>
      </c>
      <c r="C636" s="39" t="s">
        <v>44</v>
      </c>
      <c r="D636" s="39" t="s">
        <v>142</v>
      </c>
      <c r="E636" s="39">
        <v>11927</v>
      </c>
      <c r="F636" s="39"/>
      <c r="G636" s="39">
        <v>1669</v>
      </c>
      <c r="Q636" s="40">
        <v>2015</v>
      </c>
      <c r="R636" s="40" t="s">
        <v>103</v>
      </c>
      <c r="S636" s="40" t="s">
        <v>44</v>
      </c>
      <c r="T636" s="40" t="s">
        <v>143</v>
      </c>
      <c r="U636" s="40">
        <v>7388</v>
      </c>
      <c r="V636" s="40"/>
      <c r="W636" s="40">
        <v>1034</v>
      </c>
    </row>
    <row r="637" spans="1:23">
      <c r="A637" s="40">
        <v>2015</v>
      </c>
      <c r="B637" s="40" t="s">
        <v>103</v>
      </c>
      <c r="C637" s="40" t="s">
        <v>44</v>
      </c>
      <c r="D637" s="40" t="s">
        <v>143</v>
      </c>
      <c r="E637" s="40">
        <v>7388</v>
      </c>
      <c r="F637" s="40"/>
      <c r="G637" s="40">
        <v>1034</v>
      </c>
      <c r="Q637" s="39">
        <v>2015</v>
      </c>
      <c r="R637" s="39" t="s">
        <v>103</v>
      </c>
      <c r="S637" s="39" t="s">
        <v>44</v>
      </c>
      <c r="T637" s="39" t="s">
        <v>144</v>
      </c>
      <c r="U637" s="39">
        <v>4786</v>
      </c>
      <c r="V637" s="39"/>
      <c r="W637" s="39">
        <v>813</v>
      </c>
    </row>
    <row r="638" spans="1:23">
      <c r="A638" s="39">
        <v>2015</v>
      </c>
      <c r="B638" s="39" t="s">
        <v>103</v>
      </c>
      <c r="C638" s="39" t="s">
        <v>44</v>
      </c>
      <c r="D638" s="39" t="s">
        <v>144</v>
      </c>
      <c r="E638" s="39">
        <v>4786</v>
      </c>
      <c r="F638" s="39"/>
      <c r="G638" s="39">
        <v>813</v>
      </c>
      <c r="Q638" s="40">
        <v>2015</v>
      </c>
      <c r="R638" s="40" t="s">
        <v>103</v>
      </c>
      <c r="S638" s="40" t="s">
        <v>44</v>
      </c>
      <c r="T638" s="40" t="s">
        <v>148</v>
      </c>
      <c r="U638" s="40">
        <v>4724</v>
      </c>
      <c r="V638" s="40"/>
      <c r="W638" s="40">
        <v>803</v>
      </c>
    </row>
    <row r="639" spans="1:23">
      <c r="A639" s="40">
        <v>2015</v>
      </c>
      <c r="B639" s="40" t="s">
        <v>103</v>
      </c>
      <c r="C639" s="40" t="s">
        <v>44</v>
      </c>
      <c r="D639" s="40" t="s">
        <v>148</v>
      </c>
      <c r="E639" s="40">
        <v>4724</v>
      </c>
      <c r="F639" s="40"/>
      <c r="G639" s="40">
        <v>803</v>
      </c>
      <c r="Q639" s="39"/>
      <c r="R639" s="39"/>
      <c r="S639" s="39"/>
      <c r="T639" s="39"/>
      <c r="U639" s="39"/>
      <c r="V639" s="39"/>
      <c r="W639" s="39"/>
    </row>
    <row r="640" spans="1:23">
      <c r="A640" s="39"/>
      <c r="B640" s="39"/>
      <c r="C640" s="39"/>
      <c r="D640" s="39"/>
      <c r="E640" s="39"/>
      <c r="F640" s="39"/>
      <c r="G640" s="39"/>
      <c r="Q640" s="40"/>
      <c r="R640" s="40"/>
      <c r="S640" s="40"/>
      <c r="T640" s="40"/>
      <c r="U640" s="40"/>
      <c r="V640" s="40"/>
      <c r="W640" s="40"/>
    </row>
    <row r="641" spans="1:23">
      <c r="A641" s="40"/>
      <c r="B641" s="40"/>
      <c r="C641" s="40"/>
      <c r="D641" s="40"/>
      <c r="E641" s="40"/>
      <c r="F641" s="40"/>
      <c r="G641" s="40"/>
      <c r="Q641" s="39">
        <v>2015</v>
      </c>
      <c r="R641" s="39" t="s">
        <v>104</v>
      </c>
      <c r="S641" s="39" t="s">
        <v>44</v>
      </c>
      <c r="T641" s="39" t="s">
        <v>130</v>
      </c>
      <c r="U641" s="39">
        <v>172072</v>
      </c>
      <c r="V641" s="39"/>
      <c r="W641" s="39">
        <v>29252</v>
      </c>
    </row>
    <row r="642" spans="1:23">
      <c r="A642" s="39">
        <v>2015</v>
      </c>
      <c r="B642" s="39" t="s">
        <v>104</v>
      </c>
      <c r="C642" s="39" t="s">
        <v>44</v>
      </c>
      <c r="D642" s="39" t="s">
        <v>130</v>
      </c>
      <c r="E642" s="39">
        <v>172072</v>
      </c>
      <c r="F642" s="39"/>
      <c r="G642" s="39">
        <v>29252</v>
      </c>
      <c r="Q642" s="40">
        <v>2015</v>
      </c>
      <c r="R642" s="40" t="s">
        <v>104</v>
      </c>
      <c r="S642" s="40" t="s">
        <v>44</v>
      </c>
      <c r="T642" s="40" t="s">
        <v>131</v>
      </c>
      <c r="U642" s="40">
        <v>138183</v>
      </c>
      <c r="V642" s="40"/>
      <c r="W642" s="40">
        <v>19345</v>
      </c>
    </row>
    <row r="643" spans="1:23">
      <c r="A643" s="40">
        <v>2015</v>
      </c>
      <c r="B643" s="40" t="s">
        <v>104</v>
      </c>
      <c r="C643" s="40" t="s">
        <v>44</v>
      </c>
      <c r="D643" s="40" t="s">
        <v>131</v>
      </c>
      <c r="E643" s="40">
        <v>138183</v>
      </c>
      <c r="F643" s="40"/>
      <c r="G643" s="40">
        <v>19345</v>
      </c>
      <c r="Q643" s="39">
        <v>2015</v>
      </c>
      <c r="R643" s="39" t="s">
        <v>104</v>
      </c>
      <c r="S643" s="39" t="s">
        <v>44</v>
      </c>
      <c r="T643" s="39" t="s">
        <v>132</v>
      </c>
      <c r="U643" s="39">
        <v>112384</v>
      </c>
      <c r="V643" s="39"/>
      <c r="W643" s="39">
        <v>15733</v>
      </c>
    </row>
    <row r="644" spans="1:23">
      <c r="A644" s="39">
        <v>2015</v>
      </c>
      <c r="B644" s="39" t="s">
        <v>104</v>
      </c>
      <c r="C644" s="39" t="s">
        <v>44</v>
      </c>
      <c r="D644" s="39" t="s">
        <v>132</v>
      </c>
      <c r="E644" s="39">
        <v>112384</v>
      </c>
      <c r="F644" s="39"/>
      <c r="G644" s="39">
        <v>15733</v>
      </c>
      <c r="Q644" s="40">
        <v>2015</v>
      </c>
      <c r="R644" s="40" t="s">
        <v>104</v>
      </c>
      <c r="S644" s="40" t="s">
        <v>44</v>
      </c>
      <c r="T644" s="40" t="s">
        <v>117</v>
      </c>
      <c r="U644" s="40">
        <v>106243</v>
      </c>
      <c r="V644" s="40"/>
      <c r="W644" s="40">
        <v>14874</v>
      </c>
    </row>
    <row r="645" spans="1:23">
      <c r="A645" s="40">
        <v>2015</v>
      </c>
      <c r="B645" s="40" t="s">
        <v>104</v>
      </c>
      <c r="C645" s="40" t="s">
        <v>44</v>
      </c>
      <c r="D645" s="40" t="s">
        <v>117</v>
      </c>
      <c r="E645" s="40">
        <v>106243</v>
      </c>
      <c r="F645" s="40"/>
      <c r="G645" s="40">
        <v>14874</v>
      </c>
      <c r="Q645" s="39">
        <v>2015</v>
      </c>
      <c r="R645" s="39" t="s">
        <v>104</v>
      </c>
      <c r="S645" s="39" t="s">
        <v>44</v>
      </c>
      <c r="T645" s="39" t="s">
        <v>133</v>
      </c>
      <c r="U645" s="39">
        <v>84778</v>
      </c>
      <c r="V645" s="39"/>
      <c r="W645" s="39">
        <v>11868</v>
      </c>
    </row>
    <row r="646" spans="1:23">
      <c r="A646" s="39">
        <v>2015</v>
      </c>
      <c r="B646" s="39" t="s">
        <v>104</v>
      </c>
      <c r="C646" s="39" t="s">
        <v>44</v>
      </c>
      <c r="D646" s="39" t="s">
        <v>133</v>
      </c>
      <c r="E646" s="39">
        <v>84778</v>
      </c>
      <c r="F646" s="39"/>
      <c r="G646" s="39">
        <v>11868</v>
      </c>
      <c r="Q646" s="40">
        <v>2015</v>
      </c>
      <c r="R646" s="40" t="s">
        <v>104</v>
      </c>
      <c r="S646" s="40" t="s">
        <v>44</v>
      </c>
      <c r="T646" s="40" t="s">
        <v>134</v>
      </c>
      <c r="U646" s="40">
        <v>59635</v>
      </c>
      <c r="V646" s="40"/>
      <c r="W646" s="40">
        <v>8348</v>
      </c>
    </row>
    <row r="647" spans="1:23">
      <c r="A647" s="40">
        <v>2015</v>
      </c>
      <c r="B647" s="40" t="s">
        <v>104</v>
      </c>
      <c r="C647" s="40" t="s">
        <v>44</v>
      </c>
      <c r="D647" s="40" t="s">
        <v>134</v>
      </c>
      <c r="E647" s="40">
        <v>59635</v>
      </c>
      <c r="F647" s="40"/>
      <c r="G647" s="40">
        <v>8348</v>
      </c>
      <c r="Q647" s="39">
        <v>2015</v>
      </c>
      <c r="R647" s="39" t="s">
        <v>104</v>
      </c>
      <c r="S647" s="39" t="s">
        <v>44</v>
      </c>
      <c r="T647" s="39" t="s">
        <v>135</v>
      </c>
      <c r="U647" s="39">
        <v>50935</v>
      </c>
      <c r="V647" s="39"/>
      <c r="W647" s="39">
        <v>7130</v>
      </c>
    </row>
    <row r="648" spans="1:23">
      <c r="A648" s="39">
        <v>2015</v>
      </c>
      <c r="B648" s="39" t="s">
        <v>104</v>
      </c>
      <c r="C648" s="39" t="s">
        <v>44</v>
      </c>
      <c r="D648" s="39" t="s">
        <v>135</v>
      </c>
      <c r="E648" s="39">
        <v>50935</v>
      </c>
      <c r="F648" s="39"/>
      <c r="G648" s="39">
        <v>7130</v>
      </c>
      <c r="Q648" s="40">
        <v>2015</v>
      </c>
      <c r="R648" s="40" t="s">
        <v>104</v>
      </c>
      <c r="S648" s="40" t="s">
        <v>44</v>
      </c>
      <c r="T648" s="40" t="s">
        <v>136</v>
      </c>
      <c r="U648" s="40">
        <v>42284</v>
      </c>
      <c r="V648" s="40"/>
      <c r="W648" s="40">
        <v>5919</v>
      </c>
    </row>
    <row r="649" spans="1:23">
      <c r="A649" s="40">
        <v>2015</v>
      </c>
      <c r="B649" s="40" t="s">
        <v>104</v>
      </c>
      <c r="C649" s="40" t="s">
        <v>44</v>
      </c>
      <c r="D649" s="40" t="s">
        <v>136</v>
      </c>
      <c r="E649" s="40">
        <v>42284</v>
      </c>
      <c r="F649" s="40"/>
      <c r="G649" s="40">
        <v>5919</v>
      </c>
      <c r="Q649" s="39">
        <v>2015</v>
      </c>
      <c r="R649" s="39" t="s">
        <v>104</v>
      </c>
      <c r="S649" s="39" t="s">
        <v>44</v>
      </c>
      <c r="T649" s="39" t="s">
        <v>137</v>
      </c>
      <c r="U649" s="39">
        <v>36428</v>
      </c>
      <c r="V649" s="39"/>
      <c r="W649" s="39">
        <v>5099</v>
      </c>
    </row>
    <row r="650" spans="1:23">
      <c r="A650" s="39">
        <v>2015</v>
      </c>
      <c r="B650" s="39" t="s">
        <v>104</v>
      </c>
      <c r="C650" s="39" t="s">
        <v>44</v>
      </c>
      <c r="D650" s="39" t="s">
        <v>137</v>
      </c>
      <c r="E650" s="39">
        <v>36428</v>
      </c>
      <c r="F650" s="39"/>
      <c r="G650" s="39">
        <v>5099</v>
      </c>
      <c r="Q650" s="40">
        <v>2015</v>
      </c>
      <c r="R650" s="40" t="s">
        <v>104</v>
      </c>
      <c r="S650" s="40" t="s">
        <v>44</v>
      </c>
      <c r="T650" s="40" t="s">
        <v>138</v>
      </c>
      <c r="U650" s="40">
        <v>25390</v>
      </c>
      <c r="V650" s="40"/>
      <c r="W650" s="40">
        <v>3554</v>
      </c>
    </row>
    <row r="651" spans="1:23">
      <c r="A651" s="40">
        <v>2015</v>
      </c>
      <c r="B651" s="40" t="s">
        <v>104</v>
      </c>
      <c r="C651" s="40" t="s">
        <v>44</v>
      </c>
      <c r="D651" s="40" t="s">
        <v>138</v>
      </c>
      <c r="E651" s="40">
        <v>25390</v>
      </c>
      <c r="F651" s="40"/>
      <c r="G651" s="40">
        <v>3554</v>
      </c>
      <c r="Q651" s="39">
        <v>2015</v>
      </c>
      <c r="R651" s="39" t="s">
        <v>104</v>
      </c>
      <c r="S651" s="39" t="s">
        <v>44</v>
      </c>
      <c r="T651" s="39" t="s">
        <v>139</v>
      </c>
      <c r="U651" s="39">
        <v>20285</v>
      </c>
      <c r="V651" s="39"/>
      <c r="W651" s="39">
        <v>2839</v>
      </c>
    </row>
    <row r="652" spans="1:23">
      <c r="A652" s="39">
        <v>2015</v>
      </c>
      <c r="B652" s="39" t="s">
        <v>104</v>
      </c>
      <c r="C652" s="39" t="s">
        <v>44</v>
      </c>
      <c r="D652" s="39" t="s">
        <v>139</v>
      </c>
      <c r="E652" s="39">
        <v>20285</v>
      </c>
      <c r="F652" s="39"/>
      <c r="G652" s="39">
        <v>2839</v>
      </c>
      <c r="Q652" s="40">
        <v>2015</v>
      </c>
      <c r="R652" s="40" t="s">
        <v>104</v>
      </c>
      <c r="S652" s="40" t="s">
        <v>44</v>
      </c>
      <c r="T652" s="40" t="s">
        <v>140</v>
      </c>
      <c r="U652" s="40">
        <v>14406</v>
      </c>
      <c r="V652" s="40"/>
      <c r="W652" s="40">
        <v>2016</v>
      </c>
    </row>
    <row r="653" spans="1:23">
      <c r="A653" s="40">
        <v>2015</v>
      </c>
      <c r="B653" s="40" t="s">
        <v>104</v>
      </c>
      <c r="C653" s="40" t="s">
        <v>44</v>
      </c>
      <c r="D653" s="40" t="s">
        <v>140</v>
      </c>
      <c r="E653" s="40">
        <v>14406</v>
      </c>
      <c r="F653" s="40"/>
      <c r="G653" s="40">
        <v>2016</v>
      </c>
      <c r="Q653" s="39">
        <v>2015</v>
      </c>
      <c r="R653" s="39" t="s">
        <v>104</v>
      </c>
      <c r="S653" s="39" t="s">
        <v>44</v>
      </c>
      <c r="T653" s="39" t="s">
        <v>141</v>
      </c>
      <c r="U653" s="39">
        <v>9987</v>
      </c>
      <c r="V653" s="39"/>
      <c r="W653" s="39">
        <v>1398</v>
      </c>
    </row>
    <row r="654" spans="1:23">
      <c r="A654" s="39">
        <v>2015</v>
      </c>
      <c r="B654" s="39" t="s">
        <v>104</v>
      </c>
      <c r="C654" s="39" t="s">
        <v>44</v>
      </c>
      <c r="D654" s="39" t="s">
        <v>141</v>
      </c>
      <c r="E654" s="39">
        <v>9987</v>
      </c>
      <c r="F654" s="39"/>
      <c r="G654" s="39">
        <v>1398</v>
      </c>
      <c r="Q654" s="40">
        <v>2015</v>
      </c>
      <c r="R654" s="40" t="s">
        <v>104</v>
      </c>
      <c r="S654" s="40" t="s">
        <v>44</v>
      </c>
      <c r="T654" s="40" t="s">
        <v>142</v>
      </c>
      <c r="U654" s="40">
        <v>8274</v>
      </c>
      <c r="V654" s="40"/>
      <c r="W654" s="40">
        <v>1158</v>
      </c>
    </row>
    <row r="655" spans="1:23">
      <c r="A655" s="40">
        <v>2015</v>
      </c>
      <c r="B655" s="40" t="s">
        <v>104</v>
      </c>
      <c r="C655" s="40" t="s">
        <v>44</v>
      </c>
      <c r="D655" s="40" t="s">
        <v>142</v>
      </c>
      <c r="E655" s="40">
        <v>8274</v>
      </c>
      <c r="F655" s="40"/>
      <c r="G655" s="40">
        <v>1158</v>
      </c>
      <c r="Q655" s="39">
        <v>2015</v>
      </c>
      <c r="R655" s="39" t="s">
        <v>104</v>
      </c>
      <c r="S655" s="39" t="s">
        <v>44</v>
      </c>
      <c r="T655" s="39" t="s">
        <v>143</v>
      </c>
      <c r="U655" s="39">
        <v>5847</v>
      </c>
      <c r="V655" s="39"/>
      <c r="W655" s="39">
        <v>818</v>
      </c>
    </row>
    <row r="656" spans="1:23">
      <c r="A656" s="39">
        <v>2015</v>
      </c>
      <c r="B656" s="39" t="s">
        <v>104</v>
      </c>
      <c r="C656" s="39" t="s">
        <v>44</v>
      </c>
      <c r="D656" s="39" t="s">
        <v>143</v>
      </c>
      <c r="E656" s="39">
        <v>5847</v>
      </c>
      <c r="F656" s="39"/>
      <c r="G656" s="39">
        <v>818</v>
      </c>
      <c r="Q656" s="40">
        <v>2015</v>
      </c>
      <c r="R656" s="40" t="s">
        <v>104</v>
      </c>
      <c r="S656" s="40" t="s">
        <v>44</v>
      </c>
      <c r="T656" s="40" t="s">
        <v>144</v>
      </c>
      <c r="U656" s="40">
        <v>4425</v>
      </c>
      <c r="V656" s="40"/>
      <c r="W656" s="40">
        <v>752</v>
      </c>
    </row>
    <row r="657" spans="1:23">
      <c r="A657" s="40">
        <v>2015</v>
      </c>
      <c r="B657" s="40" t="s">
        <v>104</v>
      </c>
      <c r="C657" s="40" t="s">
        <v>44</v>
      </c>
      <c r="D657" s="40" t="s">
        <v>144</v>
      </c>
      <c r="E657" s="40">
        <v>4425</v>
      </c>
      <c r="F657" s="40"/>
      <c r="G657" s="40">
        <v>752</v>
      </c>
      <c r="Q657" s="39">
        <v>2015</v>
      </c>
      <c r="R657" s="39" t="s">
        <v>104</v>
      </c>
      <c r="S657" s="39" t="s">
        <v>44</v>
      </c>
      <c r="T657" s="39" t="s">
        <v>148</v>
      </c>
      <c r="U657" s="39">
        <v>6285</v>
      </c>
      <c r="V657" s="39"/>
      <c r="W657" s="39">
        <v>1068</v>
      </c>
    </row>
    <row r="658" spans="1:23">
      <c r="A658" s="39">
        <v>2015</v>
      </c>
      <c r="B658" s="39" t="s">
        <v>104</v>
      </c>
      <c r="C658" s="39" t="s">
        <v>44</v>
      </c>
      <c r="D658" s="39" t="s">
        <v>148</v>
      </c>
      <c r="E658" s="39">
        <v>6285</v>
      </c>
      <c r="F658" s="39"/>
      <c r="G658" s="39">
        <v>1068</v>
      </c>
      <c r="Q658" s="40"/>
      <c r="R658" s="40"/>
      <c r="S658" s="40"/>
      <c r="T658" s="40"/>
      <c r="U658" s="40"/>
      <c r="V658" s="40"/>
      <c r="W658" s="40"/>
    </row>
    <row r="659" spans="1:23">
      <c r="A659" s="40"/>
      <c r="B659" s="40"/>
      <c r="C659" s="40"/>
      <c r="D659" s="40"/>
      <c r="E659" s="40"/>
      <c r="F659" s="40"/>
      <c r="G659" s="40"/>
      <c r="Q659" s="39"/>
      <c r="R659" s="39"/>
      <c r="S659" s="39"/>
      <c r="T659" s="39"/>
      <c r="U659" s="39"/>
      <c r="V659" s="39"/>
      <c r="W659" s="39"/>
    </row>
    <row r="660" spans="1:23">
      <c r="A660" s="39"/>
      <c r="B660" s="39"/>
      <c r="C660" s="39"/>
      <c r="D660" s="39"/>
      <c r="E660" s="39"/>
      <c r="F660" s="39"/>
      <c r="G660" s="39"/>
      <c r="Q660" s="40">
        <v>2015</v>
      </c>
      <c r="R660" s="40" t="s">
        <v>105</v>
      </c>
      <c r="S660" s="40" t="s">
        <v>44</v>
      </c>
      <c r="T660" s="40" t="s">
        <v>130</v>
      </c>
      <c r="U660" s="40">
        <v>112463</v>
      </c>
      <c r="V660" s="40"/>
      <c r="W660" s="40">
        <v>19118</v>
      </c>
    </row>
    <row r="661" spans="1:23">
      <c r="A661" s="40">
        <v>2015</v>
      </c>
      <c r="B661" s="40" t="s">
        <v>105</v>
      </c>
      <c r="C661" s="40" t="s">
        <v>44</v>
      </c>
      <c r="D661" s="40" t="s">
        <v>130</v>
      </c>
      <c r="E661" s="40">
        <v>112463</v>
      </c>
      <c r="F661" s="40"/>
      <c r="G661" s="40">
        <v>19118</v>
      </c>
      <c r="Q661" s="39">
        <v>2015</v>
      </c>
      <c r="R661" s="39" t="s">
        <v>105</v>
      </c>
      <c r="S661" s="39" t="s">
        <v>44</v>
      </c>
      <c r="T661" s="39" t="s">
        <v>131</v>
      </c>
      <c r="U661" s="39">
        <v>89498</v>
      </c>
      <c r="V661" s="39"/>
      <c r="W661" s="39">
        <v>12529</v>
      </c>
    </row>
    <row r="662" spans="1:23">
      <c r="A662" s="39">
        <v>2015</v>
      </c>
      <c r="B662" s="39" t="s">
        <v>105</v>
      </c>
      <c r="C662" s="39" t="s">
        <v>44</v>
      </c>
      <c r="D662" s="39" t="s">
        <v>131</v>
      </c>
      <c r="E662" s="39">
        <v>89498</v>
      </c>
      <c r="F662" s="39"/>
      <c r="G662" s="39">
        <v>12529</v>
      </c>
      <c r="Q662" s="40">
        <v>2015</v>
      </c>
      <c r="R662" s="40" t="s">
        <v>105</v>
      </c>
      <c r="S662" s="40" t="s">
        <v>44</v>
      </c>
      <c r="T662" s="40" t="s">
        <v>132</v>
      </c>
      <c r="U662" s="40">
        <v>67798</v>
      </c>
      <c r="V662" s="40"/>
      <c r="W662" s="40">
        <v>9491</v>
      </c>
    </row>
    <row r="663" spans="1:23">
      <c r="A663" s="40">
        <v>2015</v>
      </c>
      <c r="B663" s="40" t="s">
        <v>105</v>
      </c>
      <c r="C663" s="40" t="s">
        <v>44</v>
      </c>
      <c r="D663" s="40" t="s">
        <v>132</v>
      </c>
      <c r="E663" s="40">
        <v>67798</v>
      </c>
      <c r="F663" s="40"/>
      <c r="G663" s="40">
        <v>9491</v>
      </c>
      <c r="Q663" s="39">
        <v>2015</v>
      </c>
      <c r="R663" s="39" t="s">
        <v>105</v>
      </c>
      <c r="S663" s="39" t="s">
        <v>44</v>
      </c>
      <c r="T663" s="39" t="s">
        <v>117</v>
      </c>
      <c r="U663" s="39">
        <v>64192</v>
      </c>
      <c r="V663" s="39"/>
      <c r="W663" s="39">
        <v>8986</v>
      </c>
    </row>
    <row r="664" spans="1:23">
      <c r="A664" s="39">
        <v>2015</v>
      </c>
      <c r="B664" s="39" t="s">
        <v>105</v>
      </c>
      <c r="C664" s="39" t="s">
        <v>44</v>
      </c>
      <c r="D664" s="39" t="s">
        <v>117</v>
      </c>
      <c r="E664" s="39">
        <v>64192</v>
      </c>
      <c r="F664" s="39"/>
      <c r="G664" s="39">
        <v>8986</v>
      </c>
      <c r="Q664" s="40">
        <v>2015</v>
      </c>
      <c r="R664" s="40" t="s">
        <v>105</v>
      </c>
      <c r="S664" s="40" t="s">
        <v>44</v>
      </c>
      <c r="T664" s="40" t="s">
        <v>133</v>
      </c>
      <c r="U664" s="40">
        <v>47692</v>
      </c>
      <c r="V664" s="40"/>
      <c r="W664" s="40">
        <v>6676</v>
      </c>
    </row>
    <row r="665" spans="1:23">
      <c r="A665" s="40">
        <v>2015</v>
      </c>
      <c r="B665" s="40" t="s">
        <v>105</v>
      </c>
      <c r="C665" s="40" t="s">
        <v>44</v>
      </c>
      <c r="D665" s="40" t="s">
        <v>133</v>
      </c>
      <c r="E665" s="40">
        <v>47692</v>
      </c>
      <c r="F665" s="40"/>
      <c r="G665" s="40">
        <v>6676</v>
      </c>
      <c r="Q665" s="39">
        <v>2015</v>
      </c>
      <c r="R665" s="39" t="s">
        <v>105</v>
      </c>
      <c r="S665" s="39" t="s">
        <v>44</v>
      </c>
      <c r="T665" s="39" t="s">
        <v>134</v>
      </c>
      <c r="U665" s="39">
        <v>29990</v>
      </c>
      <c r="V665" s="39"/>
      <c r="W665" s="39">
        <v>4198</v>
      </c>
    </row>
    <row r="666" spans="1:23">
      <c r="A666" s="39">
        <v>2015</v>
      </c>
      <c r="B666" s="39" t="s">
        <v>105</v>
      </c>
      <c r="C666" s="39" t="s">
        <v>44</v>
      </c>
      <c r="D666" s="39" t="s">
        <v>134</v>
      </c>
      <c r="E666" s="39">
        <v>29990</v>
      </c>
      <c r="F666" s="39"/>
      <c r="G666" s="39">
        <v>4198</v>
      </c>
      <c r="Q666" s="40">
        <v>2015</v>
      </c>
      <c r="R666" s="40" t="s">
        <v>105</v>
      </c>
      <c r="S666" s="40" t="s">
        <v>44</v>
      </c>
      <c r="T666" s="40" t="s">
        <v>135</v>
      </c>
      <c r="U666" s="40">
        <v>28776</v>
      </c>
      <c r="V666" s="40"/>
      <c r="W666" s="40">
        <v>4028</v>
      </c>
    </row>
    <row r="667" spans="1:23">
      <c r="A667" s="40">
        <v>2015</v>
      </c>
      <c r="B667" s="40" t="s">
        <v>105</v>
      </c>
      <c r="C667" s="40" t="s">
        <v>44</v>
      </c>
      <c r="D667" s="40" t="s">
        <v>135</v>
      </c>
      <c r="E667" s="40">
        <v>28776</v>
      </c>
      <c r="F667" s="40"/>
      <c r="G667" s="40">
        <v>4028</v>
      </c>
      <c r="Q667" s="39">
        <v>2015</v>
      </c>
      <c r="R667" s="39" t="s">
        <v>105</v>
      </c>
      <c r="S667" s="39" t="s">
        <v>44</v>
      </c>
      <c r="T667" s="39" t="s">
        <v>136</v>
      </c>
      <c r="U667" s="39">
        <v>26672</v>
      </c>
      <c r="V667" s="39"/>
      <c r="W667" s="39">
        <v>3734</v>
      </c>
    </row>
    <row r="668" spans="1:23">
      <c r="A668" s="39">
        <v>2015</v>
      </c>
      <c r="B668" s="39" t="s">
        <v>105</v>
      </c>
      <c r="C668" s="39" t="s">
        <v>44</v>
      </c>
      <c r="D668" s="39" t="s">
        <v>136</v>
      </c>
      <c r="E668" s="39">
        <v>26672</v>
      </c>
      <c r="F668" s="39"/>
      <c r="G668" s="39">
        <v>3734</v>
      </c>
      <c r="Q668" s="40">
        <v>2015</v>
      </c>
      <c r="R668" s="40" t="s">
        <v>105</v>
      </c>
      <c r="S668" s="40" t="s">
        <v>44</v>
      </c>
      <c r="T668" s="40" t="s">
        <v>137</v>
      </c>
      <c r="U668" s="40">
        <v>22990</v>
      </c>
      <c r="V668" s="40"/>
      <c r="W668" s="40">
        <v>3218</v>
      </c>
    </row>
    <row r="669" spans="1:23">
      <c r="A669" s="40">
        <v>2015</v>
      </c>
      <c r="B669" s="40" t="s">
        <v>105</v>
      </c>
      <c r="C669" s="40" t="s">
        <v>44</v>
      </c>
      <c r="D669" s="40" t="s">
        <v>137</v>
      </c>
      <c r="E669" s="40">
        <v>22990</v>
      </c>
      <c r="F669" s="40"/>
      <c r="G669" s="40">
        <v>3218</v>
      </c>
      <c r="Q669" s="39">
        <v>2015</v>
      </c>
      <c r="R669" s="39" t="s">
        <v>105</v>
      </c>
      <c r="S669" s="39" t="s">
        <v>44</v>
      </c>
      <c r="T669" s="39" t="s">
        <v>138</v>
      </c>
      <c r="U669" s="39">
        <v>17754</v>
      </c>
      <c r="V669" s="39"/>
      <c r="W669" s="39">
        <v>2485</v>
      </c>
    </row>
    <row r="670" spans="1:23">
      <c r="A670" s="39">
        <v>2015</v>
      </c>
      <c r="B670" s="39" t="s">
        <v>105</v>
      </c>
      <c r="C670" s="39" t="s">
        <v>44</v>
      </c>
      <c r="D670" s="39" t="s">
        <v>138</v>
      </c>
      <c r="E670" s="39">
        <v>17754</v>
      </c>
      <c r="F670" s="39"/>
      <c r="G670" s="39">
        <v>2485</v>
      </c>
      <c r="Q670" s="40">
        <v>2015</v>
      </c>
      <c r="R670" s="40" t="s">
        <v>105</v>
      </c>
      <c r="S670" s="40" t="s">
        <v>44</v>
      </c>
      <c r="T670" s="40" t="s">
        <v>139</v>
      </c>
      <c r="U670" s="40">
        <v>13853</v>
      </c>
      <c r="V670" s="40"/>
      <c r="W670" s="40">
        <v>1939</v>
      </c>
    </row>
    <row r="671" spans="1:23">
      <c r="A671" s="40">
        <v>2015</v>
      </c>
      <c r="B671" s="40" t="s">
        <v>105</v>
      </c>
      <c r="C671" s="40" t="s">
        <v>44</v>
      </c>
      <c r="D671" s="40" t="s">
        <v>139</v>
      </c>
      <c r="E671" s="40">
        <v>13853</v>
      </c>
      <c r="F671" s="40"/>
      <c r="G671" s="40">
        <v>1939</v>
      </c>
      <c r="Q671" s="39">
        <v>2015</v>
      </c>
      <c r="R671" s="39" t="s">
        <v>105</v>
      </c>
      <c r="S671" s="39" t="s">
        <v>44</v>
      </c>
      <c r="T671" s="39" t="s">
        <v>140</v>
      </c>
      <c r="U671" s="39">
        <v>10563</v>
      </c>
      <c r="V671" s="39"/>
      <c r="W671" s="39">
        <v>1478</v>
      </c>
    </row>
    <row r="672" spans="1:23">
      <c r="A672" s="39">
        <v>2015</v>
      </c>
      <c r="B672" s="39" t="s">
        <v>105</v>
      </c>
      <c r="C672" s="39" t="s">
        <v>44</v>
      </c>
      <c r="D672" s="39" t="s">
        <v>140</v>
      </c>
      <c r="E672" s="39">
        <v>10563</v>
      </c>
      <c r="F672" s="39"/>
      <c r="G672" s="39">
        <v>1478</v>
      </c>
      <c r="Q672" s="40">
        <v>2015</v>
      </c>
      <c r="R672" s="40" t="s">
        <v>105</v>
      </c>
      <c r="S672" s="40" t="s">
        <v>44</v>
      </c>
      <c r="T672" s="40" t="s">
        <v>141</v>
      </c>
      <c r="U672" s="40">
        <v>6731</v>
      </c>
      <c r="V672" s="40"/>
      <c r="W672" s="40">
        <v>942</v>
      </c>
    </row>
    <row r="673" spans="1:23">
      <c r="A673" s="40">
        <v>2015</v>
      </c>
      <c r="B673" s="40" t="s">
        <v>105</v>
      </c>
      <c r="C673" s="40" t="s">
        <v>44</v>
      </c>
      <c r="D673" s="40" t="s">
        <v>141</v>
      </c>
      <c r="E673" s="40">
        <v>6731</v>
      </c>
      <c r="F673" s="40"/>
      <c r="G673" s="40">
        <v>942</v>
      </c>
      <c r="Q673" s="39">
        <v>2015</v>
      </c>
      <c r="R673" s="39" t="s">
        <v>105</v>
      </c>
      <c r="S673" s="39" t="s">
        <v>44</v>
      </c>
      <c r="T673" s="39" t="s">
        <v>142</v>
      </c>
      <c r="U673" s="39">
        <v>5702</v>
      </c>
      <c r="V673" s="39"/>
      <c r="W673" s="39">
        <v>798</v>
      </c>
    </row>
    <row r="674" spans="1:23">
      <c r="A674" s="39">
        <v>2015</v>
      </c>
      <c r="B674" s="39" t="s">
        <v>105</v>
      </c>
      <c r="C674" s="39" t="s">
        <v>44</v>
      </c>
      <c r="D674" s="39" t="s">
        <v>142</v>
      </c>
      <c r="E674" s="39">
        <v>5702</v>
      </c>
      <c r="F674" s="39"/>
      <c r="G674" s="39">
        <v>798</v>
      </c>
      <c r="Q674" s="40">
        <v>2015</v>
      </c>
      <c r="R674" s="40" t="s">
        <v>105</v>
      </c>
      <c r="S674" s="40" t="s">
        <v>44</v>
      </c>
      <c r="T674" s="40" t="s">
        <v>143</v>
      </c>
      <c r="U674" s="40">
        <v>3848</v>
      </c>
      <c r="V674" s="40"/>
      <c r="W674" s="40">
        <v>538</v>
      </c>
    </row>
    <row r="675" spans="1:23">
      <c r="A675" s="40">
        <v>2015</v>
      </c>
      <c r="B675" s="40" t="s">
        <v>105</v>
      </c>
      <c r="C675" s="40" t="s">
        <v>44</v>
      </c>
      <c r="D675" s="40" t="s">
        <v>143</v>
      </c>
      <c r="E675" s="40">
        <v>3848</v>
      </c>
      <c r="F675" s="40"/>
      <c r="G675" s="40">
        <v>538</v>
      </c>
      <c r="Q675" s="39">
        <v>2015</v>
      </c>
      <c r="R675" s="39" t="s">
        <v>105</v>
      </c>
      <c r="S675" s="39" t="s">
        <v>44</v>
      </c>
      <c r="T675" s="39" t="s">
        <v>144</v>
      </c>
      <c r="U675" s="39">
        <v>2704</v>
      </c>
      <c r="V675" s="39"/>
      <c r="W675" s="39">
        <v>459</v>
      </c>
    </row>
    <row r="676" spans="1:23">
      <c r="A676" s="39">
        <v>2015</v>
      </c>
      <c r="B676" s="39" t="s">
        <v>105</v>
      </c>
      <c r="C676" s="39" t="s">
        <v>44</v>
      </c>
      <c r="D676" s="39" t="s">
        <v>144</v>
      </c>
      <c r="E676" s="39">
        <v>2704</v>
      </c>
      <c r="F676" s="39"/>
      <c r="G676" s="39">
        <v>459</v>
      </c>
      <c r="Q676" s="40">
        <v>2015</v>
      </c>
      <c r="R676" s="40" t="s">
        <v>105</v>
      </c>
      <c r="S676" s="40" t="s">
        <v>44</v>
      </c>
      <c r="T676" s="40" t="s">
        <v>148</v>
      </c>
      <c r="U676" s="40">
        <v>2964</v>
      </c>
      <c r="V676" s="40"/>
      <c r="W676" s="40">
        <v>503</v>
      </c>
    </row>
    <row r="677" spans="1:23">
      <c r="A677" s="40">
        <v>2015</v>
      </c>
      <c r="B677" s="40" t="s">
        <v>105</v>
      </c>
      <c r="C677" s="40" t="s">
        <v>44</v>
      </c>
      <c r="D677" s="40" t="s">
        <v>148</v>
      </c>
      <c r="E677" s="40">
        <v>2964</v>
      </c>
      <c r="F677" s="40"/>
      <c r="G677" s="40">
        <v>503</v>
      </c>
      <c r="Q677" s="39"/>
      <c r="R677" s="39"/>
      <c r="S677" s="39"/>
      <c r="T677" s="39"/>
      <c r="U677" s="39"/>
      <c r="V677" s="39"/>
      <c r="W677" s="39"/>
    </row>
    <row r="678" spans="1:23">
      <c r="A678" s="39"/>
      <c r="B678" s="39"/>
      <c r="C678" s="39"/>
      <c r="D678" s="39"/>
      <c r="E678" s="39"/>
      <c r="F678" s="39"/>
      <c r="G678" s="39"/>
      <c r="Q678" s="40"/>
      <c r="R678" s="40"/>
      <c r="S678" s="40"/>
      <c r="T678" s="40"/>
      <c r="U678" s="40"/>
      <c r="V678" s="40"/>
      <c r="W678" s="40"/>
    </row>
    <row r="679" spans="1:23">
      <c r="A679" s="40"/>
      <c r="B679" s="40"/>
      <c r="C679" s="40"/>
      <c r="D679" s="40"/>
      <c r="E679" s="40"/>
      <c r="F679" s="40"/>
      <c r="G679" s="40"/>
      <c r="Q679" s="39">
        <v>2015</v>
      </c>
      <c r="R679" s="39" t="s">
        <v>106</v>
      </c>
      <c r="S679" s="39" t="s">
        <v>44</v>
      </c>
      <c r="T679" s="39" t="s">
        <v>130</v>
      </c>
      <c r="U679" s="39">
        <v>233586</v>
      </c>
      <c r="V679" s="39"/>
      <c r="W679" s="39">
        <v>39709</v>
      </c>
    </row>
    <row r="680" spans="1:23">
      <c r="A680" s="39">
        <v>2015</v>
      </c>
      <c r="B680" s="39" t="s">
        <v>106</v>
      </c>
      <c r="C680" s="39" t="s">
        <v>44</v>
      </c>
      <c r="D680" s="39" t="s">
        <v>130</v>
      </c>
      <c r="E680" s="39">
        <v>233586</v>
      </c>
      <c r="F680" s="39"/>
      <c r="G680" s="39">
        <v>39709</v>
      </c>
      <c r="Q680" s="40">
        <v>2015</v>
      </c>
      <c r="R680" s="40" t="s">
        <v>106</v>
      </c>
      <c r="S680" s="40" t="s">
        <v>44</v>
      </c>
      <c r="T680" s="40" t="s">
        <v>131</v>
      </c>
      <c r="U680" s="40">
        <v>188110</v>
      </c>
      <c r="V680" s="40"/>
      <c r="W680" s="40">
        <v>26335</v>
      </c>
    </row>
    <row r="681" spans="1:23">
      <c r="A681" s="40">
        <v>2015</v>
      </c>
      <c r="B681" s="40" t="s">
        <v>106</v>
      </c>
      <c r="C681" s="40" t="s">
        <v>44</v>
      </c>
      <c r="D681" s="40" t="s">
        <v>131</v>
      </c>
      <c r="E681" s="40">
        <v>188110</v>
      </c>
      <c r="F681" s="40"/>
      <c r="G681" s="40">
        <v>26335</v>
      </c>
      <c r="Q681" s="39">
        <v>2015</v>
      </c>
      <c r="R681" s="39" t="s">
        <v>106</v>
      </c>
      <c r="S681" s="39" t="s">
        <v>44</v>
      </c>
      <c r="T681" s="39" t="s">
        <v>132</v>
      </c>
      <c r="U681" s="39">
        <v>159577</v>
      </c>
      <c r="V681" s="39"/>
      <c r="W681" s="39">
        <v>22340</v>
      </c>
    </row>
    <row r="682" spans="1:23">
      <c r="A682" s="39">
        <v>2015</v>
      </c>
      <c r="B682" s="39" t="s">
        <v>106</v>
      </c>
      <c r="C682" s="39" t="s">
        <v>44</v>
      </c>
      <c r="D682" s="39" t="s">
        <v>132</v>
      </c>
      <c r="E682" s="39">
        <v>159577</v>
      </c>
      <c r="F682" s="39"/>
      <c r="G682" s="39">
        <v>22340</v>
      </c>
      <c r="Q682" s="40">
        <v>2015</v>
      </c>
      <c r="R682" s="40" t="s">
        <v>106</v>
      </c>
      <c r="S682" s="40" t="s">
        <v>44</v>
      </c>
      <c r="T682" s="40" t="s">
        <v>117</v>
      </c>
      <c r="U682" s="40">
        <v>137000</v>
      </c>
      <c r="V682" s="40"/>
      <c r="W682" s="40">
        <v>19180</v>
      </c>
    </row>
    <row r="683" spans="1:23">
      <c r="A683" s="40">
        <v>2015</v>
      </c>
      <c r="B683" s="40" t="s">
        <v>106</v>
      </c>
      <c r="C683" s="40" t="s">
        <v>44</v>
      </c>
      <c r="D683" s="40" t="s">
        <v>117</v>
      </c>
      <c r="E683" s="40">
        <v>137000</v>
      </c>
      <c r="F683" s="40"/>
      <c r="G683" s="40">
        <v>19180</v>
      </c>
      <c r="Q683" s="39">
        <v>2015</v>
      </c>
      <c r="R683" s="39" t="s">
        <v>106</v>
      </c>
      <c r="S683" s="39" t="s">
        <v>44</v>
      </c>
      <c r="T683" s="39" t="s">
        <v>133</v>
      </c>
      <c r="U683" s="39">
        <v>130766</v>
      </c>
      <c r="V683" s="39"/>
      <c r="W683" s="39">
        <v>18307</v>
      </c>
    </row>
    <row r="684" spans="1:23">
      <c r="A684" s="39">
        <v>2015</v>
      </c>
      <c r="B684" s="39" t="s">
        <v>106</v>
      </c>
      <c r="C684" s="39" t="s">
        <v>44</v>
      </c>
      <c r="D684" s="39" t="s">
        <v>133</v>
      </c>
      <c r="E684" s="39">
        <v>130766</v>
      </c>
      <c r="F684" s="39"/>
      <c r="G684" s="39">
        <v>18307</v>
      </c>
      <c r="Q684" s="40">
        <v>2015</v>
      </c>
      <c r="R684" s="40" t="s">
        <v>106</v>
      </c>
      <c r="S684" s="40" t="s">
        <v>44</v>
      </c>
      <c r="T684" s="40" t="s">
        <v>134</v>
      </c>
      <c r="U684" s="40">
        <v>117787</v>
      </c>
      <c r="V684" s="40"/>
      <c r="W684" s="40">
        <v>16490</v>
      </c>
    </row>
    <row r="685" spans="1:23">
      <c r="A685" s="40">
        <v>2015</v>
      </c>
      <c r="B685" s="40" t="s">
        <v>106</v>
      </c>
      <c r="C685" s="40" t="s">
        <v>44</v>
      </c>
      <c r="D685" s="40" t="s">
        <v>134</v>
      </c>
      <c r="E685" s="40">
        <v>117787</v>
      </c>
      <c r="F685" s="40"/>
      <c r="G685" s="40">
        <v>16490</v>
      </c>
      <c r="Q685" s="39">
        <v>2015</v>
      </c>
      <c r="R685" s="39" t="s">
        <v>106</v>
      </c>
      <c r="S685" s="39" t="s">
        <v>44</v>
      </c>
      <c r="T685" s="39" t="s">
        <v>135</v>
      </c>
      <c r="U685" s="39">
        <v>112835</v>
      </c>
      <c r="V685" s="39"/>
      <c r="W685" s="39">
        <v>15796</v>
      </c>
    </row>
    <row r="686" spans="1:23">
      <c r="A686" s="39">
        <v>2015</v>
      </c>
      <c r="B686" s="39" t="s">
        <v>106</v>
      </c>
      <c r="C686" s="39" t="s">
        <v>44</v>
      </c>
      <c r="D686" s="39" t="s">
        <v>135</v>
      </c>
      <c r="E686" s="39">
        <v>112835</v>
      </c>
      <c r="F686" s="39"/>
      <c r="G686" s="39">
        <v>15796</v>
      </c>
      <c r="Q686" s="40">
        <v>2015</v>
      </c>
      <c r="R686" s="40" t="s">
        <v>106</v>
      </c>
      <c r="S686" s="40" t="s">
        <v>44</v>
      </c>
      <c r="T686" s="40" t="s">
        <v>136</v>
      </c>
      <c r="U686" s="40">
        <v>93294</v>
      </c>
      <c r="V686" s="40"/>
      <c r="W686" s="40">
        <v>13061</v>
      </c>
    </row>
    <row r="687" spans="1:23">
      <c r="A687" s="40">
        <v>2015</v>
      </c>
      <c r="B687" s="40" t="s">
        <v>106</v>
      </c>
      <c r="C687" s="40" t="s">
        <v>44</v>
      </c>
      <c r="D687" s="40" t="s">
        <v>136</v>
      </c>
      <c r="E687" s="40">
        <v>93294</v>
      </c>
      <c r="F687" s="40"/>
      <c r="G687" s="40">
        <v>13061</v>
      </c>
      <c r="Q687" s="39">
        <v>2015</v>
      </c>
      <c r="R687" s="39" t="s">
        <v>106</v>
      </c>
      <c r="S687" s="39" t="s">
        <v>44</v>
      </c>
      <c r="T687" s="39" t="s">
        <v>137</v>
      </c>
      <c r="U687" s="39">
        <v>74369</v>
      </c>
      <c r="V687" s="39"/>
      <c r="W687" s="39">
        <v>10411</v>
      </c>
    </row>
    <row r="688" spans="1:23">
      <c r="A688" s="39">
        <v>2015</v>
      </c>
      <c r="B688" s="39" t="s">
        <v>106</v>
      </c>
      <c r="C688" s="39" t="s">
        <v>44</v>
      </c>
      <c r="D688" s="39" t="s">
        <v>137</v>
      </c>
      <c r="E688" s="39">
        <v>74369</v>
      </c>
      <c r="F688" s="39"/>
      <c r="G688" s="39">
        <v>10411</v>
      </c>
      <c r="Q688" s="40">
        <v>2015</v>
      </c>
      <c r="R688" s="40" t="s">
        <v>106</v>
      </c>
      <c r="S688" s="40" t="s">
        <v>44</v>
      </c>
      <c r="T688" s="40" t="s">
        <v>138</v>
      </c>
      <c r="U688" s="40">
        <v>45746</v>
      </c>
      <c r="V688" s="40"/>
      <c r="W688" s="40">
        <v>6404</v>
      </c>
    </row>
    <row r="689" spans="1:23">
      <c r="A689" s="40">
        <v>2015</v>
      </c>
      <c r="B689" s="40" t="s">
        <v>106</v>
      </c>
      <c r="C689" s="40" t="s">
        <v>44</v>
      </c>
      <c r="D689" s="40" t="s">
        <v>138</v>
      </c>
      <c r="E689" s="40">
        <v>45746</v>
      </c>
      <c r="F689" s="40"/>
      <c r="G689" s="40">
        <v>6404</v>
      </c>
      <c r="Q689" s="39">
        <v>2015</v>
      </c>
      <c r="R689" s="39" t="s">
        <v>106</v>
      </c>
      <c r="S689" s="39" t="s">
        <v>44</v>
      </c>
      <c r="T689" s="39" t="s">
        <v>139</v>
      </c>
      <c r="U689" s="39">
        <v>29423</v>
      </c>
      <c r="V689" s="39"/>
      <c r="W689" s="39">
        <v>4119</v>
      </c>
    </row>
    <row r="690" spans="1:23">
      <c r="A690" s="39">
        <v>2015</v>
      </c>
      <c r="B690" s="39" t="s">
        <v>106</v>
      </c>
      <c r="C690" s="39" t="s">
        <v>44</v>
      </c>
      <c r="D690" s="39" t="s">
        <v>139</v>
      </c>
      <c r="E690" s="39">
        <v>29423</v>
      </c>
      <c r="F690" s="39"/>
      <c r="G690" s="39">
        <v>4119</v>
      </c>
      <c r="Q690" s="40">
        <v>2015</v>
      </c>
      <c r="R690" s="40" t="s">
        <v>106</v>
      </c>
      <c r="S690" s="40" t="s">
        <v>44</v>
      </c>
      <c r="T690" s="40" t="s">
        <v>140</v>
      </c>
      <c r="U690" s="40">
        <v>19484</v>
      </c>
      <c r="V690" s="40"/>
      <c r="W690" s="40">
        <v>2727</v>
      </c>
    </row>
    <row r="691" spans="1:23">
      <c r="A691" s="40">
        <v>2015</v>
      </c>
      <c r="B691" s="40" t="s">
        <v>106</v>
      </c>
      <c r="C691" s="40" t="s">
        <v>44</v>
      </c>
      <c r="D691" s="40" t="s">
        <v>140</v>
      </c>
      <c r="E691" s="40">
        <v>19484</v>
      </c>
      <c r="F691" s="40"/>
      <c r="G691" s="40">
        <v>2727</v>
      </c>
      <c r="Q691" s="39">
        <v>2015</v>
      </c>
      <c r="R691" s="39" t="s">
        <v>106</v>
      </c>
      <c r="S691" s="39" t="s">
        <v>44</v>
      </c>
      <c r="T691" s="39" t="s">
        <v>141</v>
      </c>
      <c r="U691" s="39">
        <v>13010</v>
      </c>
      <c r="V691" s="39"/>
      <c r="W691" s="39">
        <v>1821</v>
      </c>
    </row>
    <row r="692" spans="1:23">
      <c r="A692" s="39">
        <v>2015</v>
      </c>
      <c r="B692" s="39" t="s">
        <v>106</v>
      </c>
      <c r="C692" s="39" t="s">
        <v>44</v>
      </c>
      <c r="D692" s="39" t="s">
        <v>141</v>
      </c>
      <c r="E692" s="39">
        <v>13010</v>
      </c>
      <c r="F692" s="39"/>
      <c r="G692" s="39">
        <v>1821</v>
      </c>
      <c r="Q692" s="40">
        <v>2015</v>
      </c>
      <c r="R692" s="40" t="s">
        <v>106</v>
      </c>
      <c r="S692" s="40" t="s">
        <v>44</v>
      </c>
      <c r="T692" s="40" t="s">
        <v>142</v>
      </c>
      <c r="U692" s="40">
        <v>9090</v>
      </c>
      <c r="V692" s="40"/>
      <c r="W692" s="40">
        <v>1272</v>
      </c>
    </row>
    <row r="693" spans="1:23">
      <c r="A693" s="40">
        <v>2015</v>
      </c>
      <c r="B693" s="40" t="s">
        <v>106</v>
      </c>
      <c r="C693" s="40" t="s">
        <v>44</v>
      </c>
      <c r="D693" s="40" t="s">
        <v>142</v>
      </c>
      <c r="E693" s="40">
        <v>9090</v>
      </c>
      <c r="F693" s="40"/>
      <c r="G693" s="40">
        <v>1272</v>
      </c>
      <c r="Q693" s="39">
        <v>2015</v>
      </c>
      <c r="R693" s="39" t="s">
        <v>106</v>
      </c>
      <c r="S693" s="39" t="s">
        <v>44</v>
      </c>
      <c r="T693" s="39" t="s">
        <v>143</v>
      </c>
      <c r="U693" s="39">
        <v>5317</v>
      </c>
      <c r="V693" s="39"/>
      <c r="W693" s="39">
        <v>744</v>
      </c>
    </row>
    <row r="694" spans="1:23">
      <c r="A694" s="39">
        <v>2015</v>
      </c>
      <c r="B694" s="39" t="s">
        <v>106</v>
      </c>
      <c r="C694" s="39" t="s">
        <v>44</v>
      </c>
      <c r="D694" s="39" t="s">
        <v>143</v>
      </c>
      <c r="E694" s="39">
        <v>5317</v>
      </c>
      <c r="F694" s="39"/>
      <c r="G694" s="39">
        <v>744</v>
      </c>
      <c r="Q694" s="40">
        <v>2015</v>
      </c>
      <c r="R694" s="40" t="s">
        <v>106</v>
      </c>
      <c r="S694" s="40" t="s">
        <v>44</v>
      </c>
      <c r="T694" s="40" t="s">
        <v>144</v>
      </c>
      <c r="U694" s="40">
        <v>3196</v>
      </c>
      <c r="V694" s="40"/>
      <c r="W694" s="40">
        <v>543</v>
      </c>
    </row>
    <row r="695" spans="1:23">
      <c r="A695" s="40">
        <v>2015</v>
      </c>
      <c r="B695" s="40" t="s">
        <v>106</v>
      </c>
      <c r="C695" s="40" t="s">
        <v>44</v>
      </c>
      <c r="D695" s="40" t="s">
        <v>144</v>
      </c>
      <c r="E695" s="40">
        <v>3196</v>
      </c>
      <c r="F695" s="40"/>
      <c r="G695" s="40">
        <v>543</v>
      </c>
      <c r="Q695" s="39">
        <v>2015</v>
      </c>
      <c r="R695" s="39" t="s">
        <v>106</v>
      </c>
      <c r="S695" s="39" t="s">
        <v>44</v>
      </c>
      <c r="T695" s="39" t="s">
        <v>148</v>
      </c>
      <c r="U695" s="39">
        <v>3634</v>
      </c>
      <c r="V695" s="39"/>
      <c r="W695" s="39">
        <v>617</v>
      </c>
    </row>
    <row r="696" spans="1:23">
      <c r="A696" s="39">
        <v>2015</v>
      </c>
      <c r="B696" s="39" t="s">
        <v>106</v>
      </c>
      <c r="C696" s="39" t="s">
        <v>44</v>
      </c>
      <c r="D696" s="39" t="s">
        <v>148</v>
      </c>
      <c r="E696" s="39">
        <v>3634</v>
      </c>
      <c r="F696" s="39"/>
      <c r="G696" s="39">
        <v>617</v>
      </c>
      <c r="Q696" s="40"/>
      <c r="R696" s="40"/>
      <c r="S696" s="40"/>
      <c r="T696" s="40"/>
      <c r="U696" s="40"/>
      <c r="V696" s="40"/>
      <c r="W696" s="40"/>
    </row>
    <row r="697" spans="1:23">
      <c r="A697" s="40"/>
      <c r="B697" s="40"/>
      <c r="C697" s="40"/>
      <c r="D697" s="40"/>
      <c r="E697" s="40"/>
      <c r="F697" s="40"/>
      <c r="G697" s="40"/>
      <c r="Q697" s="39"/>
      <c r="R697" s="39"/>
      <c r="S697" s="39"/>
      <c r="T697" s="39"/>
      <c r="U697" s="39"/>
      <c r="V697" s="39"/>
      <c r="W697" s="39"/>
    </row>
    <row r="698" spans="1:23">
      <c r="A698" s="39"/>
      <c r="B698" s="39"/>
      <c r="C698" s="39"/>
      <c r="D698" s="39"/>
      <c r="E698" s="39"/>
      <c r="F698" s="39"/>
      <c r="G698" s="39"/>
      <c r="Q698" s="40">
        <v>2015</v>
      </c>
      <c r="R698" s="40" t="s">
        <v>107</v>
      </c>
      <c r="S698" s="40" t="s">
        <v>44</v>
      </c>
      <c r="T698" s="40" t="s">
        <v>130</v>
      </c>
      <c r="U698" s="40">
        <v>88436</v>
      </c>
      <c r="V698" s="40"/>
      <c r="W698" s="40">
        <v>15034</v>
      </c>
    </row>
    <row r="699" spans="1:23">
      <c r="A699" s="40">
        <v>2015</v>
      </c>
      <c r="B699" s="40" t="s">
        <v>107</v>
      </c>
      <c r="C699" s="40" t="s">
        <v>44</v>
      </c>
      <c r="D699" s="40" t="s">
        <v>130</v>
      </c>
      <c r="E699" s="40">
        <v>88436</v>
      </c>
      <c r="F699" s="40"/>
      <c r="G699" s="40">
        <v>15034</v>
      </c>
      <c r="Q699" s="39">
        <v>2015</v>
      </c>
      <c r="R699" s="39" t="s">
        <v>107</v>
      </c>
      <c r="S699" s="39" t="s">
        <v>44</v>
      </c>
      <c r="T699" s="39" t="s">
        <v>131</v>
      </c>
      <c r="U699" s="39">
        <v>66876</v>
      </c>
      <c r="V699" s="39"/>
      <c r="W699" s="39">
        <v>9362</v>
      </c>
    </row>
    <row r="700" spans="1:23">
      <c r="A700" s="39">
        <v>2015</v>
      </c>
      <c r="B700" s="39" t="s">
        <v>107</v>
      </c>
      <c r="C700" s="39" t="s">
        <v>44</v>
      </c>
      <c r="D700" s="39" t="s">
        <v>131</v>
      </c>
      <c r="E700" s="39">
        <v>66876</v>
      </c>
      <c r="F700" s="39"/>
      <c r="G700" s="39">
        <v>9362</v>
      </c>
      <c r="Q700" s="40">
        <v>2015</v>
      </c>
      <c r="R700" s="40" t="s">
        <v>107</v>
      </c>
      <c r="S700" s="40" t="s">
        <v>44</v>
      </c>
      <c r="T700" s="40" t="s">
        <v>132</v>
      </c>
      <c r="U700" s="40">
        <v>56303</v>
      </c>
      <c r="V700" s="40"/>
      <c r="W700" s="40">
        <v>7882</v>
      </c>
    </row>
    <row r="701" spans="1:23">
      <c r="A701" s="40">
        <v>2015</v>
      </c>
      <c r="B701" s="40" t="s">
        <v>107</v>
      </c>
      <c r="C701" s="40" t="s">
        <v>44</v>
      </c>
      <c r="D701" s="40" t="s">
        <v>132</v>
      </c>
      <c r="E701" s="40">
        <v>56303</v>
      </c>
      <c r="F701" s="40"/>
      <c r="G701" s="40">
        <v>7882</v>
      </c>
      <c r="Q701" s="39">
        <v>2015</v>
      </c>
      <c r="R701" s="39" t="s">
        <v>107</v>
      </c>
      <c r="S701" s="39" t="s">
        <v>44</v>
      </c>
      <c r="T701" s="39" t="s">
        <v>117</v>
      </c>
      <c r="U701" s="39">
        <v>51771</v>
      </c>
      <c r="V701" s="39"/>
      <c r="W701" s="39">
        <v>7247</v>
      </c>
    </row>
    <row r="702" spans="1:23">
      <c r="A702" s="39">
        <v>2015</v>
      </c>
      <c r="B702" s="39" t="s">
        <v>107</v>
      </c>
      <c r="C702" s="39" t="s">
        <v>44</v>
      </c>
      <c r="D702" s="39" t="s">
        <v>117</v>
      </c>
      <c r="E702" s="39">
        <v>51771</v>
      </c>
      <c r="F702" s="39"/>
      <c r="G702" s="39">
        <v>7247</v>
      </c>
      <c r="Q702" s="40">
        <v>2015</v>
      </c>
      <c r="R702" s="40" t="s">
        <v>107</v>
      </c>
      <c r="S702" s="40" t="s">
        <v>44</v>
      </c>
      <c r="T702" s="40" t="s">
        <v>133</v>
      </c>
      <c r="U702" s="40">
        <v>39030</v>
      </c>
      <c r="V702" s="40"/>
      <c r="W702" s="40">
        <v>5464</v>
      </c>
    </row>
    <row r="703" spans="1:23">
      <c r="A703" s="40">
        <v>2015</v>
      </c>
      <c r="B703" s="40" t="s">
        <v>107</v>
      </c>
      <c r="C703" s="40" t="s">
        <v>44</v>
      </c>
      <c r="D703" s="40" t="s">
        <v>133</v>
      </c>
      <c r="E703" s="40">
        <v>39030</v>
      </c>
      <c r="F703" s="40"/>
      <c r="G703" s="40">
        <v>5464</v>
      </c>
      <c r="Q703" s="39">
        <v>2015</v>
      </c>
      <c r="R703" s="39" t="s">
        <v>107</v>
      </c>
      <c r="S703" s="39" t="s">
        <v>44</v>
      </c>
      <c r="T703" s="39" t="s">
        <v>134</v>
      </c>
      <c r="U703" s="39">
        <v>27004</v>
      </c>
      <c r="V703" s="39"/>
      <c r="W703" s="39">
        <v>3780</v>
      </c>
    </row>
    <row r="704" spans="1:23">
      <c r="A704" s="39">
        <v>2015</v>
      </c>
      <c r="B704" s="39" t="s">
        <v>107</v>
      </c>
      <c r="C704" s="39" t="s">
        <v>44</v>
      </c>
      <c r="D704" s="39" t="s">
        <v>134</v>
      </c>
      <c r="E704" s="39">
        <v>27004</v>
      </c>
      <c r="F704" s="39"/>
      <c r="G704" s="39">
        <v>3780</v>
      </c>
      <c r="Q704" s="40">
        <v>2015</v>
      </c>
      <c r="R704" s="40" t="s">
        <v>107</v>
      </c>
      <c r="S704" s="40" t="s">
        <v>44</v>
      </c>
      <c r="T704" s="40" t="s">
        <v>135</v>
      </c>
      <c r="U704" s="40">
        <v>24310</v>
      </c>
      <c r="V704" s="40"/>
      <c r="W704" s="40">
        <v>3403</v>
      </c>
    </row>
    <row r="705" spans="1:23">
      <c r="A705" s="40">
        <v>2015</v>
      </c>
      <c r="B705" s="40" t="s">
        <v>107</v>
      </c>
      <c r="C705" s="40" t="s">
        <v>44</v>
      </c>
      <c r="D705" s="40" t="s">
        <v>135</v>
      </c>
      <c r="E705" s="40">
        <v>24310</v>
      </c>
      <c r="F705" s="40"/>
      <c r="G705" s="40">
        <v>3403</v>
      </c>
      <c r="Q705" s="39">
        <v>2015</v>
      </c>
      <c r="R705" s="39" t="s">
        <v>107</v>
      </c>
      <c r="S705" s="39" t="s">
        <v>44</v>
      </c>
      <c r="T705" s="39" t="s">
        <v>136</v>
      </c>
      <c r="U705" s="39">
        <v>20295</v>
      </c>
      <c r="V705" s="39"/>
      <c r="W705" s="39">
        <v>2841</v>
      </c>
    </row>
    <row r="706" spans="1:23">
      <c r="A706" s="39">
        <v>2015</v>
      </c>
      <c r="B706" s="39" t="s">
        <v>107</v>
      </c>
      <c r="C706" s="39" t="s">
        <v>44</v>
      </c>
      <c r="D706" s="39" t="s">
        <v>136</v>
      </c>
      <c r="E706" s="39">
        <v>20295</v>
      </c>
      <c r="F706" s="39"/>
      <c r="G706" s="39">
        <v>2841</v>
      </c>
      <c r="Q706" s="40">
        <v>2015</v>
      </c>
      <c r="R706" s="40" t="s">
        <v>107</v>
      </c>
      <c r="S706" s="40" t="s">
        <v>44</v>
      </c>
      <c r="T706" s="40" t="s">
        <v>137</v>
      </c>
      <c r="U706" s="40">
        <v>17312</v>
      </c>
      <c r="V706" s="40"/>
      <c r="W706" s="40">
        <v>2423</v>
      </c>
    </row>
    <row r="707" spans="1:23">
      <c r="A707" s="40">
        <v>2015</v>
      </c>
      <c r="B707" s="40" t="s">
        <v>107</v>
      </c>
      <c r="C707" s="40" t="s">
        <v>44</v>
      </c>
      <c r="D707" s="40" t="s">
        <v>137</v>
      </c>
      <c r="E707" s="40">
        <v>17312</v>
      </c>
      <c r="F707" s="40"/>
      <c r="G707" s="40">
        <v>2423</v>
      </c>
      <c r="Q707" s="39">
        <v>2015</v>
      </c>
      <c r="R707" s="39" t="s">
        <v>107</v>
      </c>
      <c r="S707" s="39" t="s">
        <v>44</v>
      </c>
      <c r="T707" s="39" t="s">
        <v>138</v>
      </c>
      <c r="U707" s="39">
        <v>12592</v>
      </c>
      <c r="V707" s="39"/>
      <c r="W707" s="39">
        <v>1762</v>
      </c>
    </row>
    <row r="708" spans="1:23">
      <c r="A708" s="39">
        <v>2015</v>
      </c>
      <c r="B708" s="39" t="s">
        <v>107</v>
      </c>
      <c r="C708" s="39" t="s">
        <v>44</v>
      </c>
      <c r="D708" s="39" t="s">
        <v>138</v>
      </c>
      <c r="E708" s="39">
        <v>12592</v>
      </c>
      <c r="F708" s="39"/>
      <c r="G708" s="39">
        <v>1762</v>
      </c>
      <c r="Q708" s="40">
        <v>2015</v>
      </c>
      <c r="R708" s="40" t="s">
        <v>107</v>
      </c>
      <c r="S708" s="40" t="s">
        <v>44</v>
      </c>
      <c r="T708" s="40" t="s">
        <v>139</v>
      </c>
      <c r="U708" s="40">
        <v>9978</v>
      </c>
      <c r="V708" s="40"/>
      <c r="W708" s="40">
        <v>1396</v>
      </c>
    </row>
    <row r="709" spans="1:23">
      <c r="A709" s="40">
        <v>2015</v>
      </c>
      <c r="B709" s="40" t="s">
        <v>107</v>
      </c>
      <c r="C709" s="40" t="s">
        <v>44</v>
      </c>
      <c r="D709" s="40" t="s">
        <v>139</v>
      </c>
      <c r="E709" s="40">
        <v>9978</v>
      </c>
      <c r="F709" s="40"/>
      <c r="G709" s="40">
        <v>1396</v>
      </c>
      <c r="Q709" s="39">
        <v>2015</v>
      </c>
      <c r="R709" s="39" t="s">
        <v>107</v>
      </c>
      <c r="S709" s="39" t="s">
        <v>44</v>
      </c>
      <c r="T709" s="39" t="s">
        <v>140</v>
      </c>
      <c r="U709" s="39">
        <v>7212</v>
      </c>
      <c r="V709" s="39"/>
      <c r="W709" s="39">
        <v>1009</v>
      </c>
    </row>
    <row r="710" spans="1:23">
      <c r="A710" s="39">
        <v>2015</v>
      </c>
      <c r="B710" s="39" t="s">
        <v>107</v>
      </c>
      <c r="C710" s="39" t="s">
        <v>44</v>
      </c>
      <c r="D710" s="39" t="s">
        <v>140</v>
      </c>
      <c r="E710" s="39">
        <v>7212</v>
      </c>
      <c r="F710" s="39"/>
      <c r="G710" s="39">
        <v>1009</v>
      </c>
      <c r="Q710" s="40">
        <v>2015</v>
      </c>
      <c r="R710" s="40" t="s">
        <v>107</v>
      </c>
      <c r="S710" s="40" t="s">
        <v>44</v>
      </c>
      <c r="T710" s="40" t="s">
        <v>141</v>
      </c>
      <c r="U710" s="40">
        <v>4812</v>
      </c>
      <c r="V710" s="40"/>
      <c r="W710" s="40">
        <v>673</v>
      </c>
    </row>
    <row r="711" spans="1:23">
      <c r="A711" s="40">
        <v>2015</v>
      </c>
      <c r="B711" s="40" t="s">
        <v>107</v>
      </c>
      <c r="C711" s="40" t="s">
        <v>44</v>
      </c>
      <c r="D711" s="40" t="s">
        <v>141</v>
      </c>
      <c r="E711" s="40">
        <v>4812</v>
      </c>
      <c r="F711" s="40"/>
      <c r="G711" s="40">
        <v>673</v>
      </c>
      <c r="Q711" s="39">
        <v>2015</v>
      </c>
      <c r="R711" s="39" t="s">
        <v>107</v>
      </c>
      <c r="S711" s="39" t="s">
        <v>44</v>
      </c>
      <c r="T711" s="39" t="s">
        <v>142</v>
      </c>
      <c r="U711" s="39">
        <v>4156</v>
      </c>
      <c r="V711" s="39"/>
      <c r="W711" s="39">
        <v>581</v>
      </c>
    </row>
    <row r="712" spans="1:23">
      <c r="A712" s="39">
        <v>2015</v>
      </c>
      <c r="B712" s="39" t="s">
        <v>107</v>
      </c>
      <c r="C712" s="39" t="s">
        <v>44</v>
      </c>
      <c r="D712" s="39" t="s">
        <v>142</v>
      </c>
      <c r="E712" s="39">
        <v>4156</v>
      </c>
      <c r="F712" s="39"/>
      <c r="G712" s="39">
        <v>581</v>
      </c>
      <c r="Q712" s="40">
        <v>2015</v>
      </c>
      <c r="R712" s="40" t="s">
        <v>107</v>
      </c>
      <c r="S712" s="40" t="s">
        <v>44</v>
      </c>
      <c r="T712" s="40" t="s">
        <v>143</v>
      </c>
      <c r="U712" s="40">
        <v>3278</v>
      </c>
      <c r="V712" s="40"/>
      <c r="W712" s="40">
        <v>458</v>
      </c>
    </row>
    <row r="713" spans="1:23">
      <c r="A713" s="40">
        <v>2015</v>
      </c>
      <c r="B713" s="40" t="s">
        <v>107</v>
      </c>
      <c r="C713" s="40" t="s">
        <v>44</v>
      </c>
      <c r="D713" s="40" t="s">
        <v>143</v>
      </c>
      <c r="E713" s="40">
        <v>3278</v>
      </c>
      <c r="F713" s="40"/>
      <c r="G713" s="40">
        <v>458</v>
      </c>
      <c r="Q713" s="39">
        <v>2015</v>
      </c>
      <c r="R713" s="39" t="s">
        <v>107</v>
      </c>
      <c r="S713" s="39" t="s">
        <v>44</v>
      </c>
      <c r="T713" s="39" t="s">
        <v>144</v>
      </c>
      <c r="U713" s="39">
        <v>2666</v>
      </c>
      <c r="V713" s="39"/>
      <c r="W713" s="39">
        <v>453</v>
      </c>
    </row>
    <row r="714" spans="1:23">
      <c r="A714" s="39">
        <v>2015</v>
      </c>
      <c r="B714" s="39" t="s">
        <v>107</v>
      </c>
      <c r="C714" s="39" t="s">
        <v>44</v>
      </c>
      <c r="D714" s="39" t="s">
        <v>144</v>
      </c>
      <c r="E714" s="39">
        <v>2666</v>
      </c>
      <c r="F714" s="39"/>
      <c r="G714" s="39">
        <v>453</v>
      </c>
      <c r="Q714" s="40">
        <v>2015</v>
      </c>
      <c r="R714" s="40" t="s">
        <v>107</v>
      </c>
      <c r="S714" s="40" t="s">
        <v>44</v>
      </c>
      <c r="T714" s="40" t="s">
        <v>148</v>
      </c>
      <c r="U714" s="40">
        <v>3529</v>
      </c>
      <c r="V714" s="40"/>
      <c r="W714" s="40">
        <v>599</v>
      </c>
    </row>
    <row r="715" spans="1:23">
      <c r="A715" s="40">
        <v>2015</v>
      </c>
      <c r="B715" s="40" t="s">
        <v>107</v>
      </c>
      <c r="C715" s="40" t="s">
        <v>44</v>
      </c>
      <c r="D715" s="40" t="s">
        <v>148</v>
      </c>
      <c r="E715" s="40">
        <v>3529</v>
      </c>
      <c r="F715" s="40"/>
      <c r="G715" s="40">
        <v>599</v>
      </c>
      <c r="Q715" s="39"/>
      <c r="R715" s="39"/>
      <c r="S715" s="39"/>
      <c r="T715" s="39"/>
      <c r="U715" s="39"/>
      <c r="V715" s="39"/>
      <c r="W715" s="39"/>
    </row>
    <row r="716" spans="1:23">
      <c r="A716" s="39"/>
      <c r="B716" s="39"/>
      <c r="C716" s="39"/>
      <c r="D716" s="39"/>
      <c r="E716" s="39"/>
      <c r="F716" s="39"/>
      <c r="G716" s="39"/>
      <c r="Q716" s="40"/>
      <c r="R716" s="40"/>
      <c r="S716" s="40"/>
      <c r="T716" s="40"/>
      <c r="U716" s="40"/>
      <c r="V716" s="40"/>
      <c r="W716" s="40"/>
    </row>
    <row r="717" spans="1:23">
      <c r="A717" s="40"/>
      <c r="B717" s="40"/>
      <c r="C717" s="40"/>
      <c r="D717" s="40"/>
      <c r="E717" s="40"/>
      <c r="F717" s="40"/>
      <c r="G717" s="40"/>
      <c r="Q717" s="39">
        <v>2015</v>
      </c>
      <c r="R717" s="39" t="s">
        <v>109</v>
      </c>
      <c r="S717" s="39" t="s">
        <v>44</v>
      </c>
      <c r="T717" s="39" t="s">
        <v>130</v>
      </c>
      <c r="U717" s="39">
        <v>128751</v>
      </c>
      <c r="V717" s="39"/>
      <c r="W717" s="39">
        <v>21887</v>
      </c>
    </row>
    <row r="718" spans="1:23">
      <c r="A718" s="39">
        <v>2015</v>
      </c>
      <c r="B718" s="39" t="s">
        <v>109</v>
      </c>
      <c r="C718" s="39" t="s">
        <v>44</v>
      </c>
      <c r="D718" s="39" t="s">
        <v>130</v>
      </c>
      <c r="E718" s="39">
        <v>128751</v>
      </c>
      <c r="F718" s="39"/>
      <c r="G718" s="39">
        <v>21887</v>
      </c>
      <c r="Q718" s="40">
        <v>2015</v>
      </c>
      <c r="R718" s="40" t="s">
        <v>109</v>
      </c>
      <c r="S718" s="40" t="s">
        <v>44</v>
      </c>
      <c r="T718" s="40" t="s">
        <v>131</v>
      </c>
      <c r="U718" s="40">
        <v>105963</v>
      </c>
      <c r="V718" s="40"/>
      <c r="W718" s="40">
        <v>14834</v>
      </c>
    </row>
    <row r="719" spans="1:23">
      <c r="A719" s="40">
        <v>2015</v>
      </c>
      <c r="B719" s="40" t="s">
        <v>109</v>
      </c>
      <c r="C719" s="40" t="s">
        <v>44</v>
      </c>
      <c r="D719" s="40" t="s">
        <v>131</v>
      </c>
      <c r="E719" s="40">
        <v>105963</v>
      </c>
      <c r="F719" s="40"/>
      <c r="G719" s="40">
        <v>14834</v>
      </c>
      <c r="Q719" s="39">
        <v>2015</v>
      </c>
      <c r="R719" s="39" t="s">
        <v>109</v>
      </c>
      <c r="S719" s="39" t="s">
        <v>44</v>
      </c>
      <c r="T719" s="39" t="s">
        <v>132</v>
      </c>
      <c r="U719" s="39">
        <v>84590</v>
      </c>
      <c r="V719" s="39"/>
      <c r="W719" s="39">
        <v>11842</v>
      </c>
    </row>
    <row r="720" spans="1:23">
      <c r="A720" s="39">
        <v>2015</v>
      </c>
      <c r="B720" s="39" t="s">
        <v>109</v>
      </c>
      <c r="C720" s="39" t="s">
        <v>44</v>
      </c>
      <c r="D720" s="39" t="s">
        <v>132</v>
      </c>
      <c r="E720" s="39">
        <v>84590</v>
      </c>
      <c r="F720" s="39"/>
      <c r="G720" s="39">
        <v>11842</v>
      </c>
      <c r="Q720" s="40">
        <v>2015</v>
      </c>
      <c r="R720" s="40" t="s">
        <v>109</v>
      </c>
      <c r="S720" s="40" t="s">
        <v>44</v>
      </c>
      <c r="T720" s="40" t="s">
        <v>117</v>
      </c>
      <c r="U720" s="40">
        <v>73510</v>
      </c>
      <c r="V720" s="40"/>
      <c r="W720" s="40">
        <v>10291</v>
      </c>
    </row>
    <row r="721" spans="1:23">
      <c r="A721" s="40">
        <v>2015</v>
      </c>
      <c r="B721" s="40" t="s">
        <v>109</v>
      </c>
      <c r="C721" s="40" t="s">
        <v>44</v>
      </c>
      <c r="D721" s="40" t="s">
        <v>117</v>
      </c>
      <c r="E721" s="40">
        <v>73510</v>
      </c>
      <c r="F721" s="40"/>
      <c r="G721" s="40">
        <v>10291</v>
      </c>
      <c r="Q721" s="39">
        <v>2015</v>
      </c>
      <c r="R721" s="39" t="s">
        <v>109</v>
      </c>
      <c r="S721" s="39" t="s">
        <v>44</v>
      </c>
      <c r="T721" s="39" t="s">
        <v>133</v>
      </c>
      <c r="U721" s="39">
        <v>54546</v>
      </c>
      <c r="V721" s="39"/>
      <c r="W721" s="39">
        <v>7636</v>
      </c>
    </row>
    <row r="722" spans="1:23">
      <c r="A722" s="39">
        <v>2015</v>
      </c>
      <c r="B722" s="39" t="s">
        <v>109</v>
      </c>
      <c r="C722" s="39" t="s">
        <v>44</v>
      </c>
      <c r="D722" s="39" t="s">
        <v>133</v>
      </c>
      <c r="E722" s="39">
        <v>54546</v>
      </c>
      <c r="F722" s="39"/>
      <c r="G722" s="39">
        <v>7636</v>
      </c>
      <c r="Q722" s="40">
        <v>2015</v>
      </c>
      <c r="R722" s="40" t="s">
        <v>109</v>
      </c>
      <c r="S722" s="40" t="s">
        <v>44</v>
      </c>
      <c r="T722" s="40" t="s">
        <v>134</v>
      </c>
      <c r="U722" s="40">
        <v>37412</v>
      </c>
      <c r="V722" s="40"/>
      <c r="W722" s="40">
        <v>5237</v>
      </c>
    </row>
    <row r="723" spans="1:23">
      <c r="A723" s="40">
        <v>2015</v>
      </c>
      <c r="B723" s="40" t="s">
        <v>109</v>
      </c>
      <c r="C723" s="40" t="s">
        <v>44</v>
      </c>
      <c r="D723" s="40" t="s">
        <v>134</v>
      </c>
      <c r="E723" s="40">
        <v>37412</v>
      </c>
      <c r="F723" s="40"/>
      <c r="G723" s="40">
        <v>5237</v>
      </c>
      <c r="Q723" s="39">
        <v>2015</v>
      </c>
      <c r="R723" s="39" t="s">
        <v>109</v>
      </c>
      <c r="S723" s="39" t="s">
        <v>44</v>
      </c>
      <c r="T723" s="39" t="s">
        <v>135</v>
      </c>
      <c r="U723" s="39">
        <v>35429</v>
      </c>
      <c r="V723" s="39"/>
      <c r="W723" s="39">
        <v>4960</v>
      </c>
    </row>
    <row r="724" spans="1:23">
      <c r="A724" s="39">
        <v>2015</v>
      </c>
      <c r="B724" s="39" t="s">
        <v>109</v>
      </c>
      <c r="C724" s="39" t="s">
        <v>44</v>
      </c>
      <c r="D724" s="39" t="s">
        <v>135</v>
      </c>
      <c r="E724" s="39">
        <v>35429</v>
      </c>
      <c r="F724" s="39"/>
      <c r="G724" s="39">
        <v>4960</v>
      </c>
      <c r="Q724" s="40">
        <v>2015</v>
      </c>
      <c r="R724" s="40" t="s">
        <v>109</v>
      </c>
      <c r="S724" s="40" t="s">
        <v>44</v>
      </c>
      <c r="T724" s="40" t="s">
        <v>136</v>
      </c>
      <c r="U724" s="40">
        <v>29382</v>
      </c>
      <c r="V724" s="40"/>
      <c r="W724" s="40">
        <v>4113</v>
      </c>
    </row>
    <row r="725" spans="1:23">
      <c r="A725" s="40">
        <v>2015</v>
      </c>
      <c r="B725" s="40" t="s">
        <v>109</v>
      </c>
      <c r="C725" s="40" t="s">
        <v>44</v>
      </c>
      <c r="D725" s="40" t="s">
        <v>136</v>
      </c>
      <c r="E725" s="40">
        <v>29382</v>
      </c>
      <c r="F725" s="40"/>
      <c r="G725" s="40">
        <v>4113</v>
      </c>
      <c r="Q725" s="39">
        <v>2015</v>
      </c>
      <c r="R725" s="39" t="s">
        <v>109</v>
      </c>
      <c r="S725" s="39" t="s">
        <v>44</v>
      </c>
      <c r="T725" s="39" t="s">
        <v>137</v>
      </c>
      <c r="U725" s="39">
        <v>25621</v>
      </c>
      <c r="V725" s="39"/>
      <c r="W725" s="39">
        <v>3586</v>
      </c>
    </row>
    <row r="726" spans="1:23">
      <c r="A726" s="39">
        <v>2015</v>
      </c>
      <c r="B726" s="39" t="s">
        <v>109</v>
      </c>
      <c r="C726" s="39" t="s">
        <v>44</v>
      </c>
      <c r="D726" s="39" t="s">
        <v>137</v>
      </c>
      <c r="E726" s="39">
        <v>25621</v>
      </c>
      <c r="F726" s="39"/>
      <c r="G726" s="39">
        <v>3586</v>
      </c>
      <c r="Q726" s="40">
        <v>2015</v>
      </c>
      <c r="R726" s="40" t="s">
        <v>109</v>
      </c>
      <c r="S726" s="40" t="s">
        <v>44</v>
      </c>
      <c r="T726" s="40" t="s">
        <v>138</v>
      </c>
      <c r="U726" s="40">
        <v>18744</v>
      </c>
      <c r="V726" s="40"/>
      <c r="W726" s="40">
        <v>2624</v>
      </c>
    </row>
    <row r="727" spans="1:23">
      <c r="A727" s="40">
        <v>2015</v>
      </c>
      <c r="B727" s="40" t="s">
        <v>109</v>
      </c>
      <c r="C727" s="40" t="s">
        <v>44</v>
      </c>
      <c r="D727" s="40" t="s">
        <v>138</v>
      </c>
      <c r="E727" s="40">
        <v>18744</v>
      </c>
      <c r="F727" s="40"/>
      <c r="G727" s="40">
        <v>2624</v>
      </c>
      <c r="Q727" s="39">
        <v>2015</v>
      </c>
      <c r="R727" s="39" t="s">
        <v>109</v>
      </c>
      <c r="S727" s="39" t="s">
        <v>44</v>
      </c>
      <c r="T727" s="39" t="s">
        <v>139</v>
      </c>
      <c r="U727" s="39">
        <v>15575</v>
      </c>
      <c r="V727" s="39"/>
      <c r="W727" s="39">
        <v>2180</v>
      </c>
    </row>
    <row r="728" spans="1:23">
      <c r="A728" s="39">
        <v>2015</v>
      </c>
      <c r="B728" s="39" t="s">
        <v>109</v>
      </c>
      <c r="C728" s="39" t="s">
        <v>44</v>
      </c>
      <c r="D728" s="39" t="s">
        <v>139</v>
      </c>
      <c r="E728" s="39">
        <v>15575</v>
      </c>
      <c r="F728" s="39"/>
      <c r="G728" s="39">
        <v>2180</v>
      </c>
      <c r="Q728" s="40">
        <v>2015</v>
      </c>
      <c r="R728" s="40" t="s">
        <v>109</v>
      </c>
      <c r="S728" s="40" t="s">
        <v>44</v>
      </c>
      <c r="T728" s="40" t="s">
        <v>140</v>
      </c>
      <c r="U728" s="40">
        <v>11352</v>
      </c>
      <c r="V728" s="40"/>
      <c r="W728" s="40">
        <v>1589</v>
      </c>
    </row>
    <row r="729" spans="1:23">
      <c r="A729" s="40">
        <v>2015</v>
      </c>
      <c r="B729" s="40" t="s">
        <v>109</v>
      </c>
      <c r="C729" s="40" t="s">
        <v>44</v>
      </c>
      <c r="D729" s="40" t="s">
        <v>140</v>
      </c>
      <c r="E729" s="40">
        <v>11352</v>
      </c>
      <c r="F729" s="40"/>
      <c r="G729" s="40">
        <v>1589</v>
      </c>
      <c r="Q729" s="39">
        <v>2015</v>
      </c>
      <c r="R729" s="39" t="s">
        <v>109</v>
      </c>
      <c r="S729" s="39" t="s">
        <v>44</v>
      </c>
      <c r="T729" s="39" t="s">
        <v>141</v>
      </c>
      <c r="U729" s="39">
        <v>7529</v>
      </c>
      <c r="V729" s="39"/>
      <c r="W729" s="39">
        <v>1054</v>
      </c>
    </row>
    <row r="730" spans="1:23">
      <c r="A730" s="39">
        <v>2015</v>
      </c>
      <c r="B730" s="39" t="s">
        <v>109</v>
      </c>
      <c r="C730" s="39" t="s">
        <v>44</v>
      </c>
      <c r="D730" s="39" t="s">
        <v>141</v>
      </c>
      <c r="E730" s="39">
        <v>7529</v>
      </c>
      <c r="F730" s="39"/>
      <c r="G730" s="39">
        <v>1054</v>
      </c>
      <c r="Q730" s="40">
        <v>2015</v>
      </c>
      <c r="R730" s="40" t="s">
        <v>109</v>
      </c>
      <c r="S730" s="40" t="s">
        <v>44</v>
      </c>
      <c r="T730" s="40" t="s">
        <v>142</v>
      </c>
      <c r="U730" s="40">
        <v>6122</v>
      </c>
      <c r="V730" s="40"/>
      <c r="W730" s="40">
        <v>857</v>
      </c>
    </row>
    <row r="731" spans="1:23">
      <c r="A731" s="40">
        <v>2015</v>
      </c>
      <c r="B731" s="40" t="s">
        <v>109</v>
      </c>
      <c r="C731" s="40" t="s">
        <v>44</v>
      </c>
      <c r="D731" s="40" t="s">
        <v>142</v>
      </c>
      <c r="E731" s="40">
        <v>6122</v>
      </c>
      <c r="F731" s="40"/>
      <c r="G731" s="40">
        <v>857</v>
      </c>
      <c r="Q731" s="39">
        <v>2015</v>
      </c>
      <c r="R731" s="39" t="s">
        <v>109</v>
      </c>
      <c r="S731" s="39" t="s">
        <v>44</v>
      </c>
      <c r="T731" s="39" t="s">
        <v>143</v>
      </c>
      <c r="U731" s="39">
        <v>4788</v>
      </c>
      <c r="V731" s="39"/>
      <c r="W731" s="39">
        <v>670</v>
      </c>
    </row>
    <row r="732" spans="1:23">
      <c r="A732" s="39">
        <v>2015</v>
      </c>
      <c r="B732" s="39" t="s">
        <v>109</v>
      </c>
      <c r="C732" s="39" t="s">
        <v>44</v>
      </c>
      <c r="D732" s="39" t="s">
        <v>143</v>
      </c>
      <c r="E732" s="39">
        <v>4788</v>
      </c>
      <c r="F732" s="39"/>
      <c r="G732" s="39">
        <v>670</v>
      </c>
      <c r="Q732" s="40">
        <v>2015</v>
      </c>
      <c r="R732" s="40" t="s">
        <v>109</v>
      </c>
      <c r="S732" s="40" t="s">
        <v>44</v>
      </c>
      <c r="T732" s="40" t="s">
        <v>144</v>
      </c>
      <c r="U732" s="40">
        <v>3681</v>
      </c>
      <c r="V732" s="40"/>
      <c r="W732" s="40">
        <v>625</v>
      </c>
    </row>
    <row r="733" spans="1:23">
      <c r="A733" s="40">
        <v>2015</v>
      </c>
      <c r="B733" s="40" t="s">
        <v>109</v>
      </c>
      <c r="C733" s="40" t="s">
        <v>44</v>
      </c>
      <c r="D733" s="40" t="s">
        <v>144</v>
      </c>
      <c r="E733" s="40">
        <v>3681</v>
      </c>
      <c r="F733" s="40"/>
      <c r="G733" s="40">
        <v>625</v>
      </c>
      <c r="Q733" s="39">
        <v>2015</v>
      </c>
      <c r="R733" s="39" t="s">
        <v>109</v>
      </c>
      <c r="S733" s="39" t="s">
        <v>44</v>
      </c>
      <c r="T733" s="39" t="s">
        <v>148</v>
      </c>
      <c r="U733" s="39">
        <v>3988</v>
      </c>
      <c r="V733" s="39"/>
      <c r="W733" s="39">
        <v>677</v>
      </c>
    </row>
    <row r="734" spans="1:23">
      <c r="A734" s="39">
        <v>2015</v>
      </c>
      <c r="B734" s="39" t="s">
        <v>109</v>
      </c>
      <c r="C734" s="39" t="s">
        <v>44</v>
      </c>
      <c r="D734" s="39" t="s">
        <v>148</v>
      </c>
      <c r="E734" s="39">
        <v>3988</v>
      </c>
      <c r="F734" s="39"/>
      <c r="G734" s="39">
        <v>677</v>
      </c>
      <c r="Q734" s="40"/>
      <c r="R734" s="40"/>
      <c r="S734" s="40"/>
      <c r="T734" s="40"/>
      <c r="U734" s="40"/>
      <c r="V734" s="40"/>
      <c r="W734" s="40"/>
    </row>
    <row r="735" spans="1:23">
      <c r="A735" s="40"/>
      <c r="B735" s="40"/>
      <c r="C735" s="40"/>
      <c r="D735" s="40"/>
      <c r="E735" s="40"/>
      <c r="F735" s="40"/>
      <c r="G735" s="40"/>
      <c r="Q735" s="39"/>
      <c r="R735" s="39"/>
      <c r="S735" s="39"/>
      <c r="T735" s="39"/>
      <c r="U735" s="39"/>
      <c r="V735" s="39"/>
      <c r="W735" s="39"/>
    </row>
    <row r="736" spans="1:23">
      <c r="A736" s="39"/>
      <c r="B736" s="39"/>
      <c r="C736" s="39"/>
      <c r="D736" s="39"/>
      <c r="E736" s="39"/>
      <c r="F736" s="39"/>
      <c r="G736" s="39"/>
      <c r="Q736" s="40">
        <v>2015</v>
      </c>
      <c r="R736" s="40" t="s">
        <v>108</v>
      </c>
      <c r="S736" s="40" t="s">
        <v>44</v>
      </c>
      <c r="T736" s="40" t="s">
        <v>130</v>
      </c>
      <c r="U736" s="40">
        <v>84509</v>
      </c>
      <c r="V736" s="40"/>
      <c r="W736" s="40">
        <v>14366</v>
      </c>
    </row>
    <row r="737" spans="1:23">
      <c r="A737" s="40">
        <v>2015</v>
      </c>
      <c r="B737" s="40" t="s">
        <v>108</v>
      </c>
      <c r="C737" s="40" t="s">
        <v>44</v>
      </c>
      <c r="D737" s="40" t="s">
        <v>130</v>
      </c>
      <c r="E737" s="40">
        <v>84509</v>
      </c>
      <c r="F737" s="40"/>
      <c r="G737" s="40">
        <v>14366</v>
      </c>
      <c r="Q737" s="39">
        <v>2015</v>
      </c>
      <c r="R737" s="39" t="s">
        <v>108</v>
      </c>
      <c r="S737" s="39" t="s">
        <v>44</v>
      </c>
      <c r="T737" s="39" t="s">
        <v>131</v>
      </c>
      <c r="U737" s="39">
        <v>71205</v>
      </c>
      <c r="V737" s="39"/>
      <c r="W737" s="39">
        <v>9968</v>
      </c>
    </row>
    <row r="738" spans="1:23">
      <c r="A738" s="39">
        <v>2015</v>
      </c>
      <c r="B738" s="39" t="s">
        <v>108</v>
      </c>
      <c r="C738" s="39" t="s">
        <v>44</v>
      </c>
      <c r="D738" s="39" t="s">
        <v>131</v>
      </c>
      <c r="E738" s="39">
        <v>71205</v>
      </c>
      <c r="F738" s="39"/>
      <c r="G738" s="39">
        <v>9968</v>
      </c>
      <c r="Q738" s="40">
        <v>2015</v>
      </c>
      <c r="R738" s="40" t="s">
        <v>108</v>
      </c>
      <c r="S738" s="40" t="s">
        <v>44</v>
      </c>
      <c r="T738" s="40" t="s">
        <v>132</v>
      </c>
      <c r="U738" s="40">
        <v>53737</v>
      </c>
      <c r="V738" s="40"/>
      <c r="W738" s="40">
        <v>7523</v>
      </c>
    </row>
    <row r="739" spans="1:23">
      <c r="A739" s="40">
        <v>2015</v>
      </c>
      <c r="B739" s="40" t="s">
        <v>108</v>
      </c>
      <c r="C739" s="40" t="s">
        <v>44</v>
      </c>
      <c r="D739" s="40" t="s">
        <v>132</v>
      </c>
      <c r="E739" s="40">
        <v>53737</v>
      </c>
      <c r="F739" s="40"/>
      <c r="G739" s="40">
        <v>7523</v>
      </c>
      <c r="Q739" s="39">
        <v>2015</v>
      </c>
      <c r="R739" s="39" t="s">
        <v>108</v>
      </c>
      <c r="S739" s="39" t="s">
        <v>44</v>
      </c>
      <c r="T739" s="39" t="s">
        <v>117</v>
      </c>
      <c r="U739" s="39">
        <v>47461</v>
      </c>
      <c r="V739" s="39"/>
      <c r="W739" s="39">
        <v>6644</v>
      </c>
    </row>
    <row r="740" spans="1:23">
      <c r="A740" s="39">
        <v>2015</v>
      </c>
      <c r="B740" s="39" t="s">
        <v>108</v>
      </c>
      <c r="C740" s="39" t="s">
        <v>44</v>
      </c>
      <c r="D740" s="39" t="s">
        <v>117</v>
      </c>
      <c r="E740" s="39">
        <v>47461</v>
      </c>
      <c r="F740" s="39"/>
      <c r="G740" s="39">
        <v>6644</v>
      </c>
      <c r="Q740" s="40">
        <v>2015</v>
      </c>
      <c r="R740" s="40" t="s">
        <v>108</v>
      </c>
      <c r="S740" s="40" t="s">
        <v>44</v>
      </c>
      <c r="T740" s="40" t="s">
        <v>133</v>
      </c>
      <c r="U740" s="40">
        <v>37756</v>
      </c>
      <c r="V740" s="40"/>
      <c r="W740" s="40">
        <v>5285</v>
      </c>
    </row>
    <row r="741" spans="1:23">
      <c r="A741" s="40">
        <v>2015</v>
      </c>
      <c r="B741" s="40" t="s">
        <v>108</v>
      </c>
      <c r="C741" s="40" t="s">
        <v>44</v>
      </c>
      <c r="D741" s="40" t="s">
        <v>133</v>
      </c>
      <c r="E741" s="40">
        <v>37756</v>
      </c>
      <c r="F741" s="40"/>
      <c r="G741" s="40">
        <v>5285</v>
      </c>
      <c r="Q741" s="39">
        <v>2015</v>
      </c>
      <c r="R741" s="39" t="s">
        <v>108</v>
      </c>
      <c r="S741" s="39" t="s">
        <v>44</v>
      </c>
      <c r="T741" s="39" t="s">
        <v>134</v>
      </c>
      <c r="U741" s="39">
        <v>25068</v>
      </c>
      <c r="V741" s="39"/>
      <c r="W741" s="39">
        <v>3509</v>
      </c>
    </row>
    <row r="742" spans="1:23">
      <c r="A742" s="39">
        <v>2015</v>
      </c>
      <c r="B742" s="39" t="s">
        <v>108</v>
      </c>
      <c r="C742" s="39" t="s">
        <v>44</v>
      </c>
      <c r="D742" s="39" t="s">
        <v>134</v>
      </c>
      <c r="E742" s="39">
        <v>25068</v>
      </c>
      <c r="F742" s="39"/>
      <c r="G742" s="39">
        <v>3509</v>
      </c>
      <c r="Q742" s="40">
        <v>2015</v>
      </c>
      <c r="R742" s="40" t="s">
        <v>108</v>
      </c>
      <c r="S742" s="40" t="s">
        <v>44</v>
      </c>
      <c r="T742" s="40" t="s">
        <v>135</v>
      </c>
      <c r="U742" s="40">
        <v>21674</v>
      </c>
      <c r="V742" s="40"/>
      <c r="W742" s="40">
        <v>3034</v>
      </c>
    </row>
    <row r="743" spans="1:23">
      <c r="A743" s="40">
        <v>2015</v>
      </c>
      <c r="B743" s="40" t="s">
        <v>108</v>
      </c>
      <c r="C743" s="40" t="s">
        <v>44</v>
      </c>
      <c r="D743" s="40" t="s">
        <v>135</v>
      </c>
      <c r="E743" s="40">
        <v>21674</v>
      </c>
      <c r="F743" s="40"/>
      <c r="G743" s="40">
        <v>3034</v>
      </c>
      <c r="Q743" s="39">
        <v>2015</v>
      </c>
      <c r="R743" s="39" t="s">
        <v>108</v>
      </c>
      <c r="S743" s="39" t="s">
        <v>44</v>
      </c>
      <c r="T743" s="39" t="s">
        <v>136</v>
      </c>
      <c r="U743" s="39">
        <v>18146</v>
      </c>
      <c r="V743" s="39"/>
      <c r="W743" s="39">
        <v>2540</v>
      </c>
    </row>
    <row r="744" spans="1:23">
      <c r="A744" s="39">
        <v>2015</v>
      </c>
      <c r="B744" s="39" t="s">
        <v>108</v>
      </c>
      <c r="C744" s="39" t="s">
        <v>44</v>
      </c>
      <c r="D744" s="39" t="s">
        <v>136</v>
      </c>
      <c r="E744" s="39">
        <v>18146</v>
      </c>
      <c r="F744" s="39"/>
      <c r="G744" s="39">
        <v>2540</v>
      </c>
      <c r="Q744" s="40">
        <v>2015</v>
      </c>
      <c r="R744" s="40" t="s">
        <v>108</v>
      </c>
      <c r="S744" s="40" t="s">
        <v>44</v>
      </c>
      <c r="T744" s="40" t="s">
        <v>137</v>
      </c>
      <c r="U744" s="40">
        <v>14948</v>
      </c>
      <c r="V744" s="40"/>
      <c r="W744" s="40">
        <v>2092</v>
      </c>
    </row>
    <row r="745" spans="1:23">
      <c r="A745" s="40">
        <v>2015</v>
      </c>
      <c r="B745" s="40" t="s">
        <v>108</v>
      </c>
      <c r="C745" s="40" t="s">
        <v>44</v>
      </c>
      <c r="D745" s="40" t="s">
        <v>137</v>
      </c>
      <c r="E745" s="40">
        <v>14948</v>
      </c>
      <c r="F745" s="40"/>
      <c r="G745" s="40">
        <v>2092</v>
      </c>
      <c r="Q745" s="39">
        <v>2015</v>
      </c>
      <c r="R745" s="39" t="s">
        <v>108</v>
      </c>
      <c r="S745" s="39" t="s">
        <v>44</v>
      </c>
      <c r="T745" s="39" t="s">
        <v>138</v>
      </c>
      <c r="U745" s="39">
        <v>11336</v>
      </c>
      <c r="V745" s="39"/>
      <c r="W745" s="39">
        <v>1587</v>
      </c>
    </row>
    <row r="746" spans="1:23">
      <c r="A746" s="39">
        <v>2015</v>
      </c>
      <c r="B746" s="39" t="s">
        <v>108</v>
      </c>
      <c r="C746" s="39" t="s">
        <v>44</v>
      </c>
      <c r="D746" s="39" t="s">
        <v>138</v>
      </c>
      <c r="E746" s="39">
        <v>11336</v>
      </c>
      <c r="F746" s="39"/>
      <c r="G746" s="39">
        <v>1587</v>
      </c>
      <c r="Q746" s="40">
        <v>2015</v>
      </c>
      <c r="R746" s="40" t="s">
        <v>108</v>
      </c>
      <c r="S746" s="40" t="s">
        <v>44</v>
      </c>
      <c r="T746" s="40" t="s">
        <v>139</v>
      </c>
      <c r="U746" s="40">
        <v>8609</v>
      </c>
      <c r="V746" s="40"/>
      <c r="W746" s="40">
        <v>1205</v>
      </c>
    </row>
    <row r="747" spans="1:23">
      <c r="A747" s="40">
        <v>2015</v>
      </c>
      <c r="B747" s="40" t="s">
        <v>108</v>
      </c>
      <c r="C747" s="40" t="s">
        <v>44</v>
      </c>
      <c r="D747" s="40" t="s">
        <v>139</v>
      </c>
      <c r="E747" s="40">
        <v>8609</v>
      </c>
      <c r="F747" s="40"/>
      <c r="G747" s="40">
        <v>1205</v>
      </c>
      <c r="Q747" s="39">
        <v>2015</v>
      </c>
      <c r="R747" s="39" t="s">
        <v>108</v>
      </c>
      <c r="S747" s="39" t="s">
        <v>44</v>
      </c>
      <c r="T747" s="39" t="s">
        <v>140</v>
      </c>
      <c r="U747" s="39">
        <v>5959</v>
      </c>
      <c r="V747" s="39"/>
      <c r="W747" s="39">
        <v>834</v>
      </c>
    </row>
    <row r="748" spans="1:23">
      <c r="A748" s="39">
        <v>2015</v>
      </c>
      <c r="B748" s="39" t="s">
        <v>108</v>
      </c>
      <c r="C748" s="39" t="s">
        <v>44</v>
      </c>
      <c r="D748" s="39" t="s">
        <v>140</v>
      </c>
      <c r="E748" s="39">
        <v>5959</v>
      </c>
      <c r="F748" s="39"/>
      <c r="G748" s="39">
        <v>834</v>
      </c>
      <c r="Q748" s="40">
        <v>2015</v>
      </c>
      <c r="R748" s="40" t="s">
        <v>108</v>
      </c>
      <c r="S748" s="40" t="s">
        <v>44</v>
      </c>
      <c r="T748" s="40" t="s">
        <v>141</v>
      </c>
      <c r="U748" s="40">
        <v>4168</v>
      </c>
      <c r="V748" s="40"/>
      <c r="W748" s="40">
        <v>583</v>
      </c>
    </row>
    <row r="749" spans="1:23">
      <c r="A749" s="40">
        <v>2015</v>
      </c>
      <c r="B749" s="40" t="s">
        <v>108</v>
      </c>
      <c r="C749" s="40" t="s">
        <v>44</v>
      </c>
      <c r="D749" s="40" t="s">
        <v>141</v>
      </c>
      <c r="E749" s="40">
        <v>4168</v>
      </c>
      <c r="F749" s="40"/>
      <c r="G749" s="40">
        <v>583</v>
      </c>
      <c r="Q749" s="39">
        <v>2015</v>
      </c>
      <c r="R749" s="39" t="s">
        <v>108</v>
      </c>
      <c r="S749" s="39" t="s">
        <v>44</v>
      </c>
      <c r="T749" s="39" t="s">
        <v>142</v>
      </c>
      <c r="U749" s="39">
        <v>3264</v>
      </c>
      <c r="V749" s="39"/>
      <c r="W749" s="39">
        <v>456</v>
      </c>
    </row>
    <row r="750" spans="1:23">
      <c r="A750" s="39">
        <v>2015</v>
      </c>
      <c r="B750" s="39" t="s">
        <v>108</v>
      </c>
      <c r="C750" s="39" t="s">
        <v>44</v>
      </c>
      <c r="D750" s="39" t="s">
        <v>142</v>
      </c>
      <c r="E750" s="39">
        <v>3264</v>
      </c>
      <c r="F750" s="39"/>
      <c r="G750" s="39">
        <v>456</v>
      </c>
      <c r="Q750" s="40">
        <v>2015</v>
      </c>
      <c r="R750" s="40" t="s">
        <v>108</v>
      </c>
      <c r="S750" s="40" t="s">
        <v>44</v>
      </c>
      <c r="T750" s="40" t="s">
        <v>143</v>
      </c>
      <c r="U750" s="40">
        <v>2353</v>
      </c>
      <c r="V750" s="40"/>
      <c r="W750" s="40">
        <v>329</v>
      </c>
    </row>
    <row r="751" spans="1:23">
      <c r="A751" s="40">
        <v>2015</v>
      </c>
      <c r="B751" s="40" t="s">
        <v>108</v>
      </c>
      <c r="C751" s="40" t="s">
        <v>44</v>
      </c>
      <c r="D751" s="40" t="s">
        <v>143</v>
      </c>
      <c r="E751" s="40">
        <v>2353</v>
      </c>
      <c r="F751" s="40"/>
      <c r="G751" s="40">
        <v>329</v>
      </c>
      <c r="Q751" s="39">
        <v>2015</v>
      </c>
      <c r="R751" s="39" t="s">
        <v>108</v>
      </c>
      <c r="S751" s="39" t="s">
        <v>44</v>
      </c>
      <c r="T751" s="39" t="s">
        <v>144</v>
      </c>
      <c r="U751" s="39">
        <v>1946</v>
      </c>
      <c r="V751" s="39"/>
      <c r="W751" s="39">
        <v>330</v>
      </c>
    </row>
    <row r="752" spans="1:23">
      <c r="A752" s="39">
        <v>2015</v>
      </c>
      <c r="B752" s="39" t="s">
        <v>108</v>
      </c>
      <c r="C752" s="39" t="s">
        <v>44</v>
      </c>
      <c r="D752" s="39" t="s">
        <v>144</v>
      </c>
      <c r="E752" s="39">
        <v>1946</v>
      </c>
      <c r="F752" s="39"/>
      <c r="G752" s="39">
        <v>330</v>
      </c>
      <c r="Q752" s="40">
        <v>2015</v>
      </c>
      <c r="R752" s="40" t="s">
        <v>108</v>
      </c>
      <c r="S752" s="40" t="s">
        <v>44</v>
      </c>
      <c r="T752" s="40" t="s">
        <v>148</v>
      </c>
      <c r="U752" s="40">
        <v>3102</v>
      </c>
      <c r="V752" s="40"/>
      <c r="W752" s="40">
        <v>527</v>
      </c>
    </row>
    <row r="753" spans="1:23">
      <c r="A753" s="40">
        <v>2015</v>
      </c>
      <c r="B753" s="40" t="s">
        <v>108</v>
      </c>
      <c r="C753" s="40" t="s">
        <v>44</v>
      </c>
      <c r="D753" s="40" t="s">
        <v>148</v>
      </c>
      <c r="E753" s="40">
        <v>3102</v>
      </c>
      <c r="F753" s="40"/>
      <c r="G753" s="40">
        <v>527</v>
      </c>
      <c r="Q753" s="39"/>
      <c r="R753" s="39"/>
      <c r="S753" s="39"/>
      <c r="T753" s="39"/>
      <c r="U753" s="39"/>
      <c r="V753" s="39"/>
      <c r="W753" s="39"/>
    </row>
    <row r="754" spans="1:23">
      <c r="A754" s="39"/>
      <c r="B754" s="39"/>
      <c r="C754" s="39"/>
      <c r="D754" s="39"/>
      <c r="E754" s="39"/>
      <c r="F754" s="39"/>
      <c r="G754" s="39"/>
      <c r="Q754" s="40"/>
      <c r="R754" s="40"/>
      <c r="S754" s="40"/>
      <c r="T754" s="40"/>
      <c r="U754" s="40"/>
      <c r="V754" s="40"/>
      <c r="W754" s="40"/>
    </row>
    <row r="755" spans="1:23">
      <c r="A755" s="40"/>
      <c r="B755" s="40"/>
      <c r="C755" s="40"/>
      <c r="D755" s="40"/>
      <c r="E755" s="40"/>
      <c r="F755" s="40"/>
      <c r="G755" s="40"/>
      <c r="Q755" s="39">
        <v>2015</v>
      </c>
      <c r="R755" s="39" t="s">
        <v>110</v>
      </c>
      <c r="S755" s="39" t="s">
        <v>44</v>
      </c>
      <c r="T755" s="39" t="s">
        <v>130</v>
      </c>
      <c r="U755" s="39">
        <v>177953</v>
      </c>
      <c r="V755" s="39"/>
      <c r="W755" s="39">
        <v>30252</v>
      </c>
    </row>
    <row r="756" spans="1:23">
      <c r="A756" s="39">
        <v>2015</v>
      </c>
      <c r="B756" s="39" t="s">
        <v>110</v>
      </c>
      <c r="C756" s="39" t="s">
        <v>44</v>
      </c>
      <c r="D756" s="39" t="s">
        <v>130</v>
      </c>
      <c r="E756" s="39">
        <v>177953</v>
      </c>
      <c r="F756" s="39"/>
      <c r="G756" s="39">
        <v>30252</v>
      </c>
      <c r="Q756" s="40">
        <v>2015</v>
      </c>
      <c r="R756" s="40" t="s">
        <v>110</v>
      </c>
      <c r="S756" s="40" t="s">
        <v>44</v>
      </c>
      <c r="T756" s="40" t="s">
        <v>131</v>
      </c>
      <c r="U756" s="40">
        <v>149639</v>
      </c>
      <c r="V756" s="40"/>
      <c r="W756" s="40">
        <v>20949</v>
      </c>
    </row>
    <row r="757" spans="1:23">
      <c r="A757" s="40">
        <v>2015</v>
      </c>
      <c r="B757" s="40" t="s">
        <v>110</v>
      </c>
      <c r="C757" s="40" t="s">
        <v>44</v>
      </c>
      <c r="D757" s="40" t="s">
        <v>131</v>
      </c>
      <c r="E757" s="40">
        <v>149639</v>
      </c>
      <c r="F757" s="40"/>
      <c r="G757" s="40">
        <v>20949</v>
      </c>
      <c r="Q757" s="39">
        <v>2015</v>
      </c>
      <c r="R757" s="39" t="s">
        <v>110</v>
      </c>
      <c r="S757" s="39" t="s">
        <v>44</v>
      </c>
      <c r="T757" s="39" t="s">
        <v>132</v>
      </c>
      <c r="U757" s="39">
        <v>118407</v>
      </c>
      <c r="V757" s="39"/>
      <c r="W757" s="39">
        <v>16576</v>
      </c>
    </row>
    <row r="758" spans="1:23">
      <c r="A758" s="39">
        <v>2015</v>
      </c>
      <c r="B758" s="39" t="s">
        <v>110</v>
      </c>
      <c r="C758" s="39" t="s">
        <v>44</v>
      </c>
      <c r="D758" s="39" t="s">
        <v>132</v>
      </c>
      <c r="E758" s="39">
        <v>118407</v>
      </c>
      <c r="F758" s="39"/>
      <c r="G758" s="39">
        <v>16576</v>
      </c>
      <c r="Q758" s="40">
        <v>2015</v>
      </c>
      <c r="R758" s="40" t="s">
        <v>110</v>
      </c>
      <c r="S758" s="40" t="s">
        <v>44</v>
      </c>
      <c r="T758" s="40" t="s">
        <v>117</v>
      </c>
      <c r="U758" s="40">
        <v>104991</v>
      </c>
      <c r="V758" s="40"/>
      <c r="W758" s="40">
        <v>14698</v>
      </c>
    </row>
    <row r="759" spans="1:23">
      <c r="A759" s="40">
        <v>2015</v>
      </c>
      <c r="B759" s="40" t="s">
        <v>110</v>
      </c>
      <c r="C759" s="40" t="s">
        <v>44</v>
      </c>
      <c r="D759" s="40" t="s">
        <v>117</v>
      </c>
      <c r="E759" s="40">
        <v>104991</v>
      </c>
      <c r="F759" s="40"/>
      <c r="G759" s="40">
        <v>14698</v>
      </c>
      <c r="Q759" s="39">
        <v>2015</v>
      </c>
      <c r="R759" s="39" t="s">
        <v>110</v>
      </c>
      <c r="S759" s="39" t="s">
        <v>44</v>
      </c>
      <c r="T759" s="39" t="s">
        <v>133</v>
      </c>
      <c r="U759" s="39">
        <v>91101</v>
      </c>
      <c r="V759" s="39"/>
      <c r="W759" s="39">
        <v>12754</v>
      </c>
    </row>
    <row r="760" spans="1:23">
      <c r="A760" s="39">
        <v>2015</v>
      </c>
      <c r="B760" s="39" t="s">
        <v>110</v>
      </c>
      <c r="C760" s="39" t="s">
        <v>44</v>
      </c>
      <c r="D760" s="39" t="s">
        <v>133</v>
      </c>
      <c r="E760" s="39">
        <v>91101</v>
      </c>
      <c r="F760" s="39"/>
      <c r="G760" s="39">
        <v>12754</v>
      </c>
      <c r="Q760" s="40">
        <v>2015</v>
      </c>
      <c r="R760" s="40" t="s">
        <v>110</v>
      </c>
      <c r="S760" s="40" t="s">
        <v>44</v>
      </c>
      <c r="T760" s="40" t="s">
        <v>134</v>
      </c>
      <c r="U760" s="40">
        <v>63953</v>
      </c>
      <c r="V760" s="40"/>
      <c r="W760" s="40">
        <v>8953</v>
      </c>
    </row>
    <row r="761" spans="1:23">
      <c r="A761" s="40">
        <v>2015</v>
      </c>
      <c r="B761" s="40" t="s">
        <v>110</v>
      </c>
      <c r="C761" s="40" t="s">
        <v>44</v>
      </c>
      <c r="D761" s="40" t="s">
        <v>134</v>
      </c>
      <c r="E761" s="40">
        <v>63953</v>
      </c>
      <c r="F761" s="40"/>
      <c r="G761" s="40">
        <v>8953</v>
      </c>
      <c r="Q761" s="39">
        <v>2015</v>
      </c>
      <c r="R761" s="39" t="s">
        <v>110</v>
      </c>
      <c r="S761" s="39" t="s">
        <v>44</v>
      </c>
      <c r="T761" s="39" t="s">
        <v>135</v>
      </c>
      <c r="U761" s="39">
        <v>50568</v>
      </c>
      <c r="V761" s="39"/>
      <c r="W761" s="39">
        <v>7079</v>
      </c>
    </row>
    <row r="762" spans="1:23">
      <c r="A762" s="39">
        <v>2015</v>
      </c>
      <c r="B762" s="39" t="s">
        <v>110</v>
      </c>
      <c r="C762" s="39" t="s">
        <v>44</v>
      </c>
      <c r="D762" s="39" t="s">
        <v>135</v>
      </c>
      <c r="E762" s="39">
        <v>50568</v>
      </c>
      <c r="F762" s="39"/>
      <c r="G762" s="39">
        <v>7079</v>
      </c>
      <c r="Q762" s="40">
        <v>2015</v>
      </c>
      <c r="R762" s="40" t="s">
        <v>110</v>
      </c>
      <c r="S762" s="40" t="s">
        <v>44</v>
      </c>
      <c r="T762" s="40" t="s">
        <v>136</v>
      </c>
      <c r="U762" s="40">
        <v>43228</v>
      </c>
      <c r="V762" s="40"/>
      <c r="W762" s="40">
        <v>6051</v>
      </c>
    </row>
    <row r="763" spans="1:23">
      <c r="A763" s="40">
        <v>2015</v>
      </c>
      <c r="B763" s="40" t="s">
        <v>110</v>
      </c>
      <c r="C763" s="40" t="s">
        <v>44</v>
      </c>
      <c r="D763" s="40" t="s">
        <v>136</v>
      </c>
      <c r="E763" s="40">
        <v>43228</v>
      </c>
      <c r="F763" s="40"/>
      <c r="G763" s="40">
        <v>6051</v>
      </c>
      <c r="Q763" s="39">
        <v>2015</v>
      </c>
      <c r="R763" s="39" t="s">
        <v>110</v>
      </c>
      <c r="S763" s="39" t="s">
        <v>44</v>
      </c>
      <c r="T763" s="39" t="s">
        <v>137</v>
      </c>
      <c r="U763" s="39">
        <v>35044</v>
      </c>
      <c r="V763" s="39"/>
      <c r="W763" s="39">
        <v>4906</v>
      </c>
    </row>
    <row r="764" spans="1:23">
      <c r="A764" s="39">
        <v>2015</v>
      </c>
      <c r="B764" s="39" t="s">
        <v>110</v>
      </c>
      <c r="C764" s="39" t="s">
        <v>44</v>
      </c>
      <c r="D764" s="39" t="s">
        <v>137</v>
      </c>
      <c r="E764" s="39">
        <v>35044</v>
      </c>
      <c r="F764" s="39"/>
      <c r="G764" s="39">
        <v>4906</v>
      </c>
      <c r="Q764" s="40">
        <v>2015</v>
      </c>
      <c r="R764" s="40" t="s">
        <v>110</v>
      </c>
      <c r="S764" s="40" t="s">
        <v>44</v>
      </c>
      <c r="T764" s="40" t="s">
        <v>138</v>
      </c>
      <c r="U764" s="40">
        <v>23621</v>
      </c>
      <c r="V764" s="40"/>
      <c r="W764" s="40">
        <v>3306</v>
      </c>
    </row>
    <row r="765" spans="1:23">
      <c r="A765" s="40">
        <v>2015</v>
      </c>
      <c r="B765" s="40" t="s">
        <v>110</v>
      </c>
      <c r="C765" s="40" t="s">
        <v>44</v>
      </c>
      <c r="D765" s="40" t="s">
        <v>138</v>
      </c>
      <c r="E765" s="40">
        <v>23621</v>
      </c>
      <c r="F765" s="40"/>
      <c r="G765" s="40">
        <v>3306</v>
      </c>
      <c r="Q765" s="39">
        <v>2015</v>
      </c>
      <c r="R765" s="39" t="s">
        <v>110</v>
      </c>
      <c r="S765" s="39" t="s">
        <v>44</v>
      </c>
      <c r="T765" s="39" t="s">
        <v>139</v>
      </c>
      <c r="U765" s="39">
        <v>17732</v>
      </c>
      <c r="V765" s="39"/>
      <c r="W765" s="39">
        <v>2482</v>
      </c>
    </row>
    <row r="766" spans="1:23">
      <c r="A766" s="39">
        <v>2015</v>
      </c>
      <c r="B766" s="39" t="s">
        <v>110</v>
      </c>
      <c r="C766" s="39" t="s">
        <v>44</v>
      </c>
      <c r="D766" s="39" t="s">
        <v>139</v>
      </c>
      <c r="E766" s="39">
        <v>17732</v>
      </c>
      <c r="F766" s="39"/>
      <c r="G766" s="39">
        <v>2482</v>
      </c>
      <c r="Q766" s="40">
        <v>2015</v>
      </c>
      <c r="R766" s="40" t="s">
        <v>110</v>
      </c>
      <c r="S766" s="40" t="s">
        <v>44</v>
      </c>
      <c r="T766" s="40" t="s">
        <v>140</v>
      </c>
      <c r="U766" s="40">
        <v>12670</v>
      </c>
      <c r="V766" s="40"/>
      <c r="W766" s="40">
        <v>1773</v>
      </c>
    </row>
    <row r="767" spans="1:23">
      <c r="A767" s="40">
        <v>2015</v>
      </c>
      <c r="B767" s="40" t="s">
        <v>110</v>
      </c>
      <c r="C767" s="40" t="s">
        <v>44</v>
      </c>
      <c r="D767" s="40" t="s">
        <v>140</v>
      </c>
      <c r="E767" s="40">
        <v>12670</v>
      </c>
      <c r="F767" s="40"/>
      <c r="G767" s="40">
        <v>1773</v>
      </c>
      <c r="Q767" s="39">
        <v>2015</v>
      </c>
      <c r="R767" s="39" t="s">
        <v>110</v>
      </c>
      <c r="S767" s="39" t="s">
        <v>44</v>
      </c>
      <c r="T767" s="39" t="s">
        <v>141</v>
      </c>
      <c r="U767" s="39">
        <v>7954</v>
      </c>
      <c r="V767" s="39"/>
      <c r="W767" s="39">
        <v>1113</v>
      </c>
    </row>
    <row r="768" spans="1:23">
      <c r="A768" s="39">
        <v>2015</v>
      </c>
      <c r="B768" s="39" t="s">
        <v>110</v>
      </c>
      <c r="C768" s="39" t="s">
        <v>44</v>
      </c>
      <c r="D768" s="39" t="s">
        <v>141</v>
      </c>
      <c r="E768" s="39">
        <v>7954</v>
      </c>
      <c r="F768" s="39"/>
      <c r="G768" s="39">
        <v>1113</v>
      </c>
      <c r="Q768" s="40">
        <v>2015</v>
      </c>
      <c r="R768" s="40" t="s">
        <v>110</v>
      </c>
      <c r="S768" s="40" t="s">
        <v>44</v>
      </c>
      <c r="T768" s="40" t="s">
        <v>142</v>
      </c>
      <c r="U768" s="40">
        <v>6231</v>
      </c>
      <c r="V768" s="40"/>
      <c r="W768" s="40">
        <v>872</v>
      </c>
    </row>
    <row r="769" spans="1:23">
      <c r="A769" s="40">
        <v>2015</v>
      </c>
      <c r="B769" s="40" t="s">
        <v>110</v>
      </c>
      <c r="C769" s="40" t="s">
        <v>44</v>
      </c>
      <c r="D769" s="40" t="s">
        <v>142</v>
      </c>
      <c r="E769" s="40">
        <v>6231</v>
      </c>
      <c r="F769" s="40"/>
      <c r="G769" s="40">
        <v>872</v>
      </c>
      <c r="Q769" s="39">
        <v>2015</v>
      </c>
      <c r="R769" s="39" t="s">
        <v>110</v>
      </c>
      <c r="S769" s="39" t="s">
        <v>44</v>
      </c>
      <c r="T769" s="39" t="s">
        <v>143</v>
      </c>
      <c r="U769" s="39">
        <v>4465</v>
      </c>
      <c r="V769" s="39"/>
      <c r="W769" s="39">
        <v>625</v>
      </c>
    </row>
    <row r="770" spans="1:23">
      <c r="A770" s="39">
        <v>2015</v>
      </c>
      <c r="B770" s="39" t="s">
        <v>110</v>
      </c>
      <c r="C770" s="39" t="s">
        <v>44</v>
      </c>
      <c r="D770" s="39" t="s">
        <v>143</v>
      </c>
      <c r="E770" s="39">
        <v>4465</v>
      </c>
      <c r="F770" s="39"/>
      <c r="G770" s="39">
        <v>625</v>
      </c>
      <c r="Q770" s="40">
        <v>2015</v>
      </c>
      <c r="R770" s="40" t="s">
        <v>110</v>
      </c>
      <c r="S770" s="40" t="s">
        <v>44</v>
      </c>
      <c r="T770" s="40" t="s">
        <v>144</v>
      </c>
      <c r="U770" s="40">
        <v>3208</v>
      </c>
      <c r="V770" s="40"/>
      <c r="W770" s="40">
        <v>545</v>
      </c>
    </row>
    <row r="771" spans="1:23">
      <c r="A771" s="40">
        <v>2015</v>
      </c>
      <c r="B771" s="40" t="s">
        <v>110</v>
      </c>
      <c r="C771" s="40" t="s">
        <v>44</v>
      </c>
      <c r="D771" s="40" t="s">
        <v>144</v>
      </c>
      <c r="E771" s="40">
        <v>3208</v>
      </c>
      <c r="F771" s="40"/>
      <c r="G771" s="40">
        <v>545</v>
      </c>
      <c r="Q771" s="39">
        <v>2015</v>
      </c>
      <c r="R771" s="39" t="s">
        <v>110</v>
      </c>
      <c r="S771" s="39" t="s">
        <v>44</v>
      </c>
      <c r="T771" s="39" t="s">
        <v>148</v>
      </c>
      <c r="U771" s="39">
        <v>4722</v>
      </c>
      <c r="V771" s="39"/>
      <c r="W771" s="39">
        <v>802</v>
      </c>
    </row>
    <row r="772" spans="1:23">
      <c r="A772" s="39">
        <v>2015</v>
      </c>
      <c r="B772" s="39" t="s">
        <v>110</v>
      </c>
      <c r="C772" s="39" t="s">
        <v>44</v>
      </c>
      <c r="D772" s="39" t="s">
        <v>148</v>
      </c>
      <c r="E772" s="39">
        <v>4722</v>
      </c>
      <c r="F772" s="39"/>
      <c r="G772" s="39">
        <v>802</v>
      </c>
      <c r="Q772" s="40"/>
      <c r="R772" s="40"/>
      <c r="S772" s="40"/>
      <c r="T772" s="40"/>
      <c r="U772" s="40"/>
      <c r="V772" s="40"/>
      <c r="W772" s="40"/>
    </row>
    <row r="773" spans="1:23">
      <c r="A773" s="40"/>
      <c r="B773" s="40"/>
      <c r="C773" s="40"/>
      <c r="D773" s="40"/>
      <c r="E773" s="40"/>
      <c r="F773" s="40"/>
      <c r="G773" s="40"/>
      <c r="Q773" s="39"/>
      <c r="R773" s="39"/>
      <c r="S773" s="39"/>
      <c r="T773" s="39"/>
      <c r="U773" s="39"/>
      <c r="V773" s="39"/>
      <c r="W773" s="39"/>
    </row>
    <row r="774" spans="1:23">
      <c r="A774" s="39"/>
      <c r="B774" s="39"/>
      <c r="C774" s="39"/>
      <c r="D774" s="39"/>
      <c r="E774" s="39"/>
      <c r="F774" s="39"/>
      <c r="G774" s="39"/>
      <c r="Q774" s="40">
        <v>2015</v>
      </c>
      <c r="R774" s="40" t="s">
        <v>111</v>
      </c>
      <c r="S774" s="40" t="s">
        <v>44</v>
      </c>
      <c r="T774" s="40" t="s">
        <v>130</v>
      </c>
      <c r="U774" s="40">
        <v>91257</v>
      </c>
      <c r="V774" s="40"/>
      <c r="W774" s="40">
        <v>15513</v>
      </c>
    </row>
    <row r="775" spans="1:23">
      <c r="A775" s="40">
        <v>2015</v>
      </c>
      <c r="B775" s="40" t="s">
        <v>111</v>
      </c>
      <c r="C775" s="40" t="s">
        <v>44</v>
      </c>
      <c r="D775" s="40" t="s">
        <v>130</v>
      </c>
      <c r="E775" s="40">
        <v>91257</v>
      </c>
      <c r="F775" s="40"/>
      <c r="G775" s="40">
        <v>15513</v>
      </c>
      <c r="Q775" s="39">
        <v>2015</v>
      </c>
      <c r="R775" s="39" t="s">
        <v>111</v>
      </c>
      <c r="S775" s="39" t="s">
        <v>44</v>
      </c>
      <c r="T775" s="39" t="s">
        <v>131</v>
      </c>
      <c r="U775" s="39">
        <v>82278</v>
      </c>
      <c r="V775" s="39"/>
      <c r="W775" s="39">
        <v>11518</v>
      </c>
    </row>
    <row r="776" spans="1:23">
      <c r="A776" s="39">
        <v>2015</v>
      </c>
      <c r="B776" s="39" t="s">
        <v>111</v>
      </c>
      <c r="C776" s="39" t="s">
        <v>44</v>
      </c>
      <c r="D776" s="39" t="s">
        <v>131</v>
      </c>
      <c r="E776" s="39">
        <v>82278</v>
      </c>
      <c r="F776" s="39"/>
      <c r="G776" s="39">
        <v>11518</v>
      </c>
      <c r="Q776" s="40">
        <v>2015</v>
      </c>
      <c r="R776" s="40" t="s">
        <v>111</v>
      </c>
      <c r="S776" s="40" t="s">
        <v>44</v>
      </c>
      <c r="T776" s="40" t="s">
        <v>132</v>
      </c>
      <c r="U776" s="40">
        <v>68895</v>
      </c>
      <c r="V776" s="40"/>
      <c r="W776" s="40">
        <v>9645</v>
      </c>
    </row>
    <row r="777" spans="1:23">
      <c r="A777" s="40">
        <v>2015</v>
      </c>
      <c r="B777" s="40" t="s">
        <v>111</v>
      </c>
      <c r="C777" s="40" t="s">
        <v>44</v>
      </c>
      <c r="D777" s="40" t="s">
        <v>132</v>
      </c>
      <c r="E777" s="40">
        <v>68895</v>
      </c>
      <c r="F777" s="40"/>
      <c r="G777" s="40">
        <v>9645</v>
      </c>
      <c r="Q777" s="39">
        <v>2015</v>
      </c>
      <c r="R777" s="39" t="s">
        <v>111</v>
      </c>
      <c r="S777" s="39" t="s">
        <v>44</v>
      </c>
      <c r="T777" s="39" t="s">
        <v>117</v>
      </c>
      <c r="U777" s="39">
        <v>54807</v>
      </c>
      <c r="V777" s="39"/>
      <c r="W777" s="39">
        <v>7672</v>
      </c>
    </row>
    <row r="778" spans="1:23">
      <c r="A778" s="39">
        <v>2015</v>
      </c>
      <c r="B778" s="39" t="s">
        <v>111</v>
      </c>
      <c r="C778" s="39" t="s">
        <v>44</v>
      </c>
      <c r="D778" s="39" t="s">
        <v>117</v>
      </c>
      <c r="E778" s="39">
        <v>54807</v>
      </c>
      <c r="F778" s="39"/>
      <c r="G778" s="39">
        <v>7672</v>
      </c>
      <c r="Q778" s="40">
        <v>2015</v>
      </c>
      <c r="R778" s="40" t="s">
        <v>111</v>
      </c>
      <c r="S778" s="40" t="s">
        <v>44</v>
      </c>
      <c r="T778" s="40" t="s">
        <v>133</v>
      </c>
      <c r="U778" s="40">
        <v>42130</v>
      </c>
      <c r="V778" s="40"/>
      <c r="W778" s="40">
        <v>5898</v>
      </c>
    </row>
    <row r="779" spans="1:23">
      <c r="A779" s="40">
        <v>2015</v>
      </c>
      <c r="B779" s="40" t="s">
        <v>111</v>
      </c>
      <c r="C779" s="40" t="s">
        <v>44</v>
      </c>
      <c r="D779" s="40" t="s">
        <v>133</v>
      </c>
      <c r="E779" s="40">
        <v>42130</v>
      </c>
      <c r="F779" s="40"/>
      <c r="G779" s="40">
        <v>5898</v>
      </c>
      <c r="Q779" s="39">
        <v>2015</v>
      </c>
      <c r="R779" s="39" t="s">
        <v>111</v>
      </c>
      <c r="S779" s="39" t="s">
        <v>44</v>
      </c>
      <c r="T779" s="39" t="s">
        <v>134</v>
      </c>
      <c r="U779" s="39">
        <v>27565</v>
      </c>
      <c r="V779" s="39"/>
      <c r="W779" s="39">
        <v>3859</v>
      </c>
    </row>
    <row r="780" spans="1:23">
      <c r="A780" s="39">
        <v>2015</v>
      </c>
      <c r="B780" s="39" t="s">
        <v>111</v>
      </c>
      <c r="C780" s="39" t="s">
        <v>44</v>
      </c>
      <c r="D780" s="39" t="s">
        <v>134</v>
      </c>
      <c r="E780" s="39">
        <v>27565</v>
      </c>
      <c r="F780" s="39"/>
      <c r="G780" s="39">
        <v>3859</v>
      </c>
      <c r="Q780" s="40">
        <v>2015</v>
      </c>
      <c r="R780" s="40" t="s">
        <v>111</v>
      </c>
      <c r="S780" s="40" t="s">
        <v>44</v>
      </c>
      <c r="T780" s="40" t="s">
        <v>135</v>
      </c>
      <c r="U780" s="40">
        <v>23419</v>
      </c>
      <c r="V780" s="40"/>
      <c r="W780" s="40">
        <v>3278</v>
      </c>
    </row>
    <row r="781" spans="1:23">
      <c r="A781" s="40">
        <v>2015</v>
      </c>
      <c r="B781" s="40" t="s">
        <v>111</v>
      </c>
      <c r="C781" s="40" t="s">
        <v>44</v>
      </c>
      <c r="D781" s="40" t="s">
        <v>135</v>
      </c>
      <c r="E781" s="40">
        <v>23419</v>
      </c>
      <c r="F781" s="40"/>
      <c r="G781" s="40">
        <v>3278</v>
      </c>
      <c r="Q781" s="39">
        <v>2015</v>
      </c>
      <c r="R781" s="39" t="s">
        <v>111</v>
      </c>
      <c r="S781" s="39" t="s">
        <v>44</v>
      </c>
      <c r="T781" s="39" t="s">
        <v>136</v>
      </c>
      <c r="U781" s="39">
        <v>19772</v>
      </c>
      <c r="V781" s="39"/>
      <c r="W781" s="39">
        <v>2768</v>
      </c>
    </row>
    <row r="782" spans="1:23">
      <c r="A782" s="39">
        <v>2015</v>
      </c>
      <c r="B782" s="39" t="s">
        <v>111</v>
      </c>
      <c r="C782" s="39" t="s">
        <v>44</v>
      </c>
      <c r="D782" s="39" t="s">
        <v>136</v>
      </c>
      <c r="E782" s="39">
        <v>19772</v>
      </c>
      <c r="F782" s="39"/>
      <c r="G782" s="39">
        <v>2768</v>
      </c>
      <c r="Q782" s="40">
        <v>2015</v>
      </c>
      <c r="R782" s="40" t="s">
        <v>111</v>
      </c>
      <c r="S782" s="40" t="s">
        <v>44</v>
      </c>
      <c r="T782" s="40" t="s">
        <v>137</v>
      </c>
      <c r="U782" s="40">
        <v>16524</v>
      </c>
      <c r="V782" s="40"/>
      <c r="W782" s="40">
        <v>2313</v>
      </c>
    </row>
    <row r="783" spans="1:23">
      <c r="A783" s="40">
        <v>2015</v>
      </c>
      <c r="B783" s="40" t="s">
        <v>111</v>
      </c>
      <c r="C783" s="40" t="s">
        <v>44</v>
      </c>
      <c r="D783" s="40" t="s">
        <v>137</v>
      </c>
      <c r="E783" s="40">
        <v>16524</v>
      </c>
      <c r="F783" s="40"/>
      <c r="G783" s="40">
        <v>2313</v>
      </c>
      <c r="Q783" s="39">
        <v>2015</v>
      </c>
      <c r="R783" s="39" t="s">
        <v>111</v>
      </c>
      <c r="S783" s="39" t="s">
        <v>44</v>
      </c>
      <c r="T783" s="39" t="s">
        <v>138</v>
      </c>
      <c r="U783" s="39">
        <v>12304</v>
      </c>
      <c r="V783" s="39"/>
      <c r="W783" s="39">
        <v>1722</v>
      </c>
    </row>
    <row r="784" spans="1:23">
      <c r="A784" s="39">
        <v>2015</v>
      </c>
      <c r="B784" s="39" t="s">
        <v>111</v>
      </c>
      <c r="C784" s="39" t="s">
        <v>44</v>
      </c>
      <c r="D784" s="39" t="s">
        <v>138</v>
      </c>
      <c r="E784" s="39">
        <v>12304</v>
      </c>
      <c r="F784" s="39"/>
      <c r="G784" s="39">
        <v>1722</v>
      </c>
      <c r="H784" s="37">
        <f>SUM(G778:G784)</f>
        <v>27510</v>
      </c>
      <c r="Q784" s="40">
        <v>2015</v>
      </c>
      <c r="R784" s="40" t="s">
        <v>111</v>
      </c>
      <c r="S784" s="40" t="s">
        <v>44</v>
      </c>
      <c r="T784" s="40" t="s">
        <v>139</v>
      </c>
      <c r="U784" s="40">
        <v>9637</v>
      </c>
      <c r="V784" s="40"/>
      <c r="W784" s="40">
        <v>1349</v>
      </c>
    </row>
    <row r="785" spans="1:23">
      <c r="A785" s="40">
        <v>2015</v>
      </c>
      <c r="B785" s="40" t="s">
        <v>111</v>
      </c>
      <c r="C785" s="40" t="s">
        <v>44</v>
      </c>
      <c r="D785" s="40" t="s">
        <v>139</v>
      </c>
      <c r="E785" s="40">
        <v>9637</v>
      </c>
      <c r="F785" s="40"/>
      <c r="G785" s="40">
        <v>1349</v>
      </c>
      <c r="Q785" s="39">
        <v>2015</v>
      </c>
      <c r="R785" s="39" t="s">
        <v>111</v>
      </c>
      <c r="S785" s="39" t="s">
        <v>44</v>
      </c>
      <c r="T785" s="39" t="s">
        <v>140</v>
      </c>
      <c r="U785" s="39">
        <v>7809</v>
      </c>
      <c r="V785" s="39"/>
      <c r="W785" s="39">
        <v>1093</v>
      </c>
    </row>
    <row r="786" spans="1:23">
      <c r="A786" s="39">
        <v>2015</v>
      </c>
      <c r="B786" s="39" t="s">
        <v>111</v>
      </c>
      <c r="C786" s="39" t="s">
        <v>44</v>
      </c>
      <c r="D786" s="39" t="s">
        <v>140</v>
      </c>
      <c r="E786" s="39">
        <v>7809</v>
      </c>
      <c r="F786" s="39"/>
      <c r="G786" s="39">
        <v>1093</v>
      </c>
      <c r="Q786" s="40">
        <v>2015</v>
      </c>
      <c r="R786" s="40" t="s">
        <v>111</v>
      </c>
      <c r="S786" s="40" t="s">
        <v>44</v>
      </c>
      <c r="T786" s="40" t="s">
        <v>141</v>
      </c>
      <c r="U786" s="40">
        <v>5356</v>
      </c>
      <c r="V786" s="40"/>
      <c r="W786" s="40">
        <v>749</v>
      </c>
    </row>
    <row r="787" spans="1:23">
      <c r="A787" s="40">
        <v>2015</v>
      </c>
      <c r="B787" s="40" t="s">
        <v>111</v>
      </c>
      <c r="C787" s="40" t="s">
        <v>44</v>
      </c>
      <c r="D787" s="40" t="s">
        <v>141</v>
      </c>
      <c r="E787" s="40">
        <v>5356</v>
      </c>
      <c r="F787" s="40"/>
      <c r="G787" s="40">
        <v>749</v>
      </c>
      <c r="Q787" s="39">
        <v>2015</v>
      </c>
      <c r="R787" s="39" t="s">
        <v>111</v>
      </c>
      <c r="S787" s="39" t="s">
        <v>44</v>
      </c>
      <c r="T787" s="39" t="s">
        <v>142</v>
      </c>
      <c r="U787" s="39">
        <v>4729</v>
      </c>
      <c r="V787" s="39"/>
      <c r="W787" s="39">
        <v>662</v>
      </c>
    </row>
    <row r="788" spans="1:23">
      <c r="A788" s="39">
        <v>2015</v>
      </c>
      <c r="B788" s="39" t="s">
        <v>111</v>
      </c>
      <c r="C788" s="39" t="s">
        <v>44</v>
      </c>
      <c r="D788" s="39" t="s">
        <v>142</v>
      </c>
      <c r="E788" s="39">
        <v>4729</v>
      </c>
      <c r="F788" s="39"/>
      <c r="G788" s="39">
        <v>662</v>
      </c>
      <c r="Q788" s="40">
        <v>2015</v>
      </c>
      <c r="R788" s="40" t="s">
        <v>111</v>
      </c>
      <c r="S788" s="40" t="s">
        <v>44</v>
      </c>
      <c r="T788" s="40" t="s">
        <v>143</v>
      </c>
      <c r="U788" s="40">
        <v>3541</v>
      </c>
      <c r="V788" s="40"/>
      <c r="W788" s="40">
        <v>495</v>
      </c>
    </row>
    <row r="789" spans="1:23">
      <c r="A789" s="40">
        <v>2015</v>
      </c>
      <c r="B789" s="40" t="s">
        <v>111</v>
      </c>
      <c r="C789" s="40" t="s">
        <v>44</v>
      </c>
      <c r="D789" s="40" t="s">
        <v>143</v>
      </c>
      <c r="E789" s="40">
        <v>3541</v>
      </c>
      <c r="F789" s="40"/>
      <c r="G789" s="40">
        <v>495</v>
      </c>
      <c r="Q789" s="39">
        <v>2015</v>
      </c>
      <c r="R789" s="39" t="s">
        <v>111</v>
      </c>
      <c r="S789" s="39" t="s">
        <v>44</v>
      </c>
      <c r="T789" s="39" t="s">
        <v>144</v>
      </c>
      <c r="U789" s="39">
        <v>3028</v>
      </c>
      <c r="V789" s="39"/>
      <c r="W789" s="39">
        <v>514</v>
      </c>
    </row>
    <row r="790" spans="1:23">
      <c r="A790" s="39">
        <v>2015</v>
      </c>
      <c r="B790" s="39" t="s">
        <v>111</v>
      </c>
      <c r="C790" s="39" t="s">
        <v>44</v>
      </c>
      <c r="D790" s="39" t="s">
        <v>144</v>
      </c>
      <c r="E790" s="39">
        <v>3028</v>
      </c>
      <c r="F790" s="39"/>
      <c r="G790" s="39">
        <v>514</v>
      </c>
      <c r="Q790" s="40">
        <v>2015</v>
      </c>
      <c r="R790" s="40" t="s">
        <v>111</v>
      </c>
      <c r="S790" s="40" t="s">
        <v>44</v>
      </c>
      <c r="T790" s="40" t="s">
        <v>148</v>
      </c>
      <c r="U790" s="40">
        <v>5229</v>
      </c>
      <c r="V790" s="40"/>
      <c r="W790" s="40">
        <v>888</v>
      </c>
    </row>
    <row r="791" spans="1:23">
      <c r="A791" s="40">
        <v>2015</v>
      </c>
      <c r="B791" s="40" t="s">
        <v>111</v>
      </c>
      <c r="C791" s="40" t="s">
        <v>44</v>
      </c>
      <c r="D791" s="40" t="s">
        <v>148</v>
      </c>
      <c r="E791" s="40">
        <v>5229</v>
      </c>
      <c r="F791" s="40"/>
      <c r="G791" s="40">
        <v>888</v>
      </c>
      <c r="Q791" s="39"/>
      <c r="R791" s="39"/>
      <c r="S791" s="39"/>
      <c r="T791" s="39"/>
      <c r="U791" s="39"/>
      <c r="V791" s="39"/>
      <c r="W791" s="39"/>
    </row>
    <row r="792" spans="1:23">
      <c r="A792" s="39"/>
      <c r="B792" s="39"/>
      <c r="C792" s="39"/>
      <c r="D792" s="39"/>
      <c r="E792" s="39"/>
      <c r="F792" s="39"/>
      <c r="G792" s="39"/>
      <c r="Q792" s="40"/>
      <c r="R792" s="40"/>
      <c r="S792" s="40"/>
      <c r="T792" s="40"/>
      <c r="U792" s="40"/>
      <c r="V792" s="40"/>
      <c r="W792" s="40"/>
    </row>
    <row r="793" spans="1:23">
      <c r="A793" s="40"/>
      <c r="B793" s="40"/>
      <c r="C793" s="40"/>
      <c r="D793" s="40"/>
      <c r="E793" s="40"/>
      <c r="F793" s="40"/>
      <c r="G793" s="40"/>
      <c r="Q793" s="39"/>
      <c r="R793" s="39"/>
      <c r="S793" s="39"/>
      <c r="T793" s="39"/>
      <c r="U793" s="39"/>
      <c r="V793" s="39"/>
      <c r="W793" s="39"/>
    </row>
    <row r="794" spans="1:23">
      <c r="A794" s="39"/>
      <c r="B794" s="39"/>
      <c r="C794" s="39"/>
      <c r="D794" s="39"/>
      <c r="E794" s="39"/>
      <c r="F794" s="39"/>
      <c r="G794" s="39"/>
      <c r="Q794" s="40">
        <v>2018</v>
      </c>
      <c r="R794" s="40" t="s">
        <v>102</v>
      </c>
      <c r="S794" s="40" t="s">
        <v>43</v>
      </c>
      <c r="T794" s="40" t="s">
        <v>130</v>
      </c>
      <c r="U794" s="49">
        <v>152051</v>
      </c>
      <c r="V794" s="40"/>
      <c r="W794" s="40"/>
    </row>
    <row r="795" spans="1:23">
      <c r="A795" s="40"/>
      <c r="B795" s="40"/>
      <c r="C795" s="40"/>
      <c r="D795" s="40"/>
      <c r="E795" s="40"/>
      <c r="F795" s="40"/>
      <c r="G795" s="40"/>
      <c r="Q795" s="39">
        <v>2018</v>
      </c>
      <c r="R795" s="39" t="s">
        <v>102</v>
      </c>
      <c r="S795" s="39" t="s">
        <v>43</v>
      </c>
      <c r="T795" s="39" t="s">
        <v>131</v>
      </c>
      <c r="U795" s="50">
        <v>127734</v>
      </c>
      <c r="V795" s="39"/>
      <c r="W795" s="39"/>
    </row>
    <row r="796" spans="1:23">
      <c r="A796" s="39"/>
      <c r="B796" s="39"/>
      <c r="C796" s="39"/>
      <c r="D796" s="39"/>
      <c r="E796" s="39"/>
      <c r="F796" s="39"/>
      <c r="G796" s="39"/>
      <c r="Q796" s="40">
        <v>2018</v>
      </c>
      <c r="R796" s="40" t="s">
        <v>102</v>
      </c>
      <c r="S796" s="40" t="s">
        <v>43</v>
      </c>
      <c r="T796" s="40" t="s">
        <v>132</v>
      </c>
      <c r="U796" s="49">
        <v>106632</v>
      </c>
      <c r="V796" s="40"/>
      <c r="W796" s="40"/>
    </row>
    <row r="797" spans="1:23">
      <c r="A797" s="40"/>
      <c r="B797" s="40"/>
      <c r="C797" s="40"/>
      <c r="D797" s="40"/>
      <c r="E797" s="40"/>
      <c r="F797" s="40"/>
      <c r="G797" s="40"/>
      <c r="Q797" s="39">
        <v>2018</v>
      </c>
      <c r="R797" s="39" t="s">
        <v>102</v>
      </c>
      <c r="S797" s="39" t="s">
        <v>43</v>
      </c>
      <c r="T797" s="39" t="s">
        <v>117</v>
      </c>
      <c r="U797" s="50">
        <v>94675</v>
      </c>
      <c r="V797" s="39"/>
      <c r="W797" s="39"/>
    </row>
    <row r="798" spans="1:23">
      <c r="A798" s="39"/>
      <c r="B798" s="39"/>
      <c r="C798" s="39"/>
      <c r="D798" s="39"/>
      <c r="E798" s="39"/>
      <c r="F798" s="39"/>
      <c r="G798" s="39"/>
      <c r="Q798" s="40">
        <v>2018</v>
      </c>
      <c r="R798" s="40" t="s">
        <v>102</v>
      </c>
      <c r="S798" s="40" t="s">
        <v>43</v>
      </c>
      <c r="T798" s="40" t="s">
        <v>133</v>
      </c>
      <c r="U798" s="49">
        <v>79540</v>
      </c>
      <c r="V798" s="40"/>
      <c r="W798" s="40"/>
    </row>
    <row r="799" spans="1:23">
      <c r="A799" s="40"/>
      <c r="B799" s="40"/>
      <c r="C799" s="40"/>
      <c r="D799" s="40"/>
      <c r="E799" s="40"/>
      <c r="F799" s="40"/>
      <c r="G799" s="40"/>
      <c r="Q799" s="39">
        <v>2018</v>
      </c>
      <c r="R799" s="39" t="s">
        <v>102</v>
      </c>
      <c r="S799" s="39" t="s">
        <v>43</v>
      </c>
      <c r="T799" s="39" t="s">
        <v>134</v>
      </c>
      <c r="U799" s="50">
        <v>65371</v>
      </c>
      <c r="V799" s="39"/>
      <c r="W799" s="39"/>
    </row>
    <row r="800" spans="1:23">
      <c r="A800" s="39"/>
      <c r="B800" s="39"/>
      <c r="C800" s="39"/>
      <c r="D800" s="39"/>
      <c r="E800" s="39"/>
      <c r="F800" s="39"/>
      <c r="G800" s="39"/>
      <c r="Q800" s="40">
        <v>2018</v>
      </c>
      <c r="R800" s="40" t="s">
        <v>102</v>
      </c>
      <c r="S800" s="40" t="s">
        <v>43</v>
      </c>
      <c r="T800" s="40" t="s">
        <v>135</v>
      </c>
      <c r="U800" s="49">
        <v>55429</v>
      </c>
      <c r="V800" s="40"/>
      <c r="W800" s="40"/>
    </row>
    <row r="801" spans="1:26">
      <c r="A801" s="40"/>
      <c r="B801" s="40"/>
      <c r="C801" s="40"/>
      <c r="D801" s="40"/>
      <c r="E801" s="40"/>
      <c r="F801" s="40"/>
      <c r="G801" s="40"/>
      <c r="Q801" s="39">
        <v>2018</v>
      </c>
      <c r="R801" s="39" t="s">
        <v>102</v>
      </c>
      <c r="S801" s="39" t="s">
        <v>43</v>
      </c>
      <c r="T801" s="39" t="s">
        <v>136</v>
      </c>
      <c r="U801" s="50">
        <v>45548</v>
      </c>
      <c r="V801" s="39"/>
      <c r="W801" s="39"/>
    </row>
    <row r="802" spans="1:26">
      <c r="A802" s="39"/>
      <c r="B802" s="39"/>
      <c r="C802" s="39"/>
      <c r="D802" s="39"/>
      <c r="E802" s="39"/>
      <c r="F802" s="39"/>
      <c r="G802" s="39"/>
      <c r="Q802" s="40">
        <v>2018</v>
      </c>
      <c r="R802" s="40" t="s">
        <v>102</v>
      </c>
      <c r="S802" s="40" t="s">
        <v>43</v>
      </c>
      <c r="T802" s="40" t="s">
        <v>137</v>
      </c>
      <c r="U802" s="49">
        <v>34958</v>
      </c>
      <c r="V802" s="40"/>
      <c r="W802" s="40"/>
    </row>
    <row r="803" spans="1:26">
      <c r="A803" s="40"/>
      <c r="B803" s="40"/>
      <c r="C803" s="40"/>
      <c r="D803" s="40"/>
      <c r="E803" s="40"/>
      <c r="F803" s="40"/>
      <c r="G803" s="40"/>
      <c r="Q803" s="39">
        <v>2018</v>
      </c>
      <c r="R803" s="39" t="s">
        <v>102</v>
      </c>
      <c r="S803" s="39" t="s">
        <v>43</v>
      </c>
      <c r="T803" s="39" t="s">
        <v>138</v>
      </c>
      <c r="U803" s="50">
        <v>23584</v>
      </c>
      <c r="V803" s="39"/>
      <c r="W803" s="39"/>
    </row>
    <row r="804" spans="1:26">
      <c r="A804" s="39"/>
      <c r="B804" s="39"/>
      <c r="C804" s="39"/>
      <c r="D804" s="39"/>
      <c r="E804" s="39"/>
      <c r="F804" s="39"/>
      <c r="G804" s="39"/>
      <c r="Q804" s="40">
        <v>2018</v>
      </c>
      <c r="R804" s="40" t="s">
        <v>102</v>
      </c>
      <c r="S804" s="40" t="s">
        <v>43</v>
      </c>
      <c r="T804" s="40" t="s">
        <v>139</v>
      </c>
      <c r="U804" s="49">
        <v>18117</v>
      </c>
      <c r="V804" s="40"/>
      <c r="W804" s="40"/>
    </row>
    <row r="805" spans="1:26">
      <c r="A805" s="40"/>
      <c r="B805" s="40"/>
      <c r="C805" s="40"/>
      <c r="D805" s="40"/>
      <c r="E805" s="40"/>
      <c r="F805" s="40"/>
      <c r="G805" s="40"/>
      <c r="Q805" s="39">
        <v>2018</v>
      </c>
      <c r="R805" s="39" t="s">
        <v>102</v>
      </c>
      <c r="S805" s="39" t="s">
        <v>43</v>
      </c>
      <c r="T805" s="39" t="s">
        <v>140</v>
      </c>
      <c r="U805" s="50">
        <v>16713</v>
      </c>
      <c r="V805" s="39"/>
      <c r="W805" s="39"/>
    </row>
    <row r="806" spans="1:26">
      <c r="A806" s="39"/>
      <c r="B806" s="39"/>
      <c r="C806" s="39"/>
      <c r="D806" s="39"/>
      <c r="E806" s="39"/>
      <c r="F806" s="39"/>
      <c r="G806" s="39"/>
      <c r="Q806" s="40">
        <v>2018</v>
      </c>
      <c r="R806" s="40" t="s">
        <v>102</v>
      </c>
      <c r="S806" s="40" t="s">
        <v>43</v>
      </c>
      <c r="T806" s="40" t="s">
        <v>141</v>
      </c>
      <c r="U806" s="49">
        <v>12388</v>
      </c>
      <c r="V806" s="40"/>
      <c r="W806" s="40"/>
    </row>
    <row r="807" spans="1:26">
      <c r="A807" s="40"/>
      <c r="B807" s="40"/>
      <c r="C807" s="40"/>
      <c r="D807" s="40"/>
      <c r="E807" s="40"/>
      <c r="F807" s="40"/>
      <c r="G807" s="40"/>
      <c r="Q807" s="39">
        <v>2018</v>
      </c>
      <c r="R807" s="39" t="s">
        <v>102</v>
      </c>
      <c r="S807" s="39" t="s">
        <v>43</v>
      </c>
      <c r="T807" s="39" t="s">
        <v>142</v>
      </c>
      <c r="U807" s="50">
        <v>9224</v>
      </c>
      <c r="V807" s="39"/>
      <c r="W807" s="39"/>
    </row>
    <row r="808" spans="1:26">
      <c r="A808" s="39"/>
      <c r="B808" s="39"/>
      <c r="C808" s="39"/>
      <c r="D808" s="39"/>
      <c r="E808" s="39"/>
      <c r="F808" s="39"/>
      <c r="G808" s="39"/>
      <c r="Q808" s="40">
        <v>2018</v>
      </c>
      <c r="R808" s="40" t="s">
        <v>102</v>
      </c>
      <c r="S808" s="40" t="s">
        <v>43</v>
      </c>
      <c r="T808" s="40" t="s">
        <v>143</v>
      </c>
      <c r="U808" s="49">
        <v>6282</v>
      </c>
      <c r="V808" s="40"/>
      <c r="W808" s="40"/>
    </row>
    <row r="809" spans="1:26">
      <c r="A809" s="40"/>
      <c r="B809" s="40"/>
      <c r="C809" s="40"/>
      <c r="D809" s="40"/>
      <c r="E809" s="40"/>
      <c r="F809" s="40"/>
      <c r="G809" s="40"/>
      <c r="Q809" s="39">
        <v>2018</v>
      </c>
      <c r="R809" s="39" t="s">
        <v>102</v>
      </c>
      <c r="S809" s="39" t="s">
        <v>43</v>
      </c>
      <c r="T809" s="39" t="s">
        <v>144</v>
      </c>
      <c r="U809" s="50">
        <v>3685</v>
      </c>
      <c r="V809" s="39"/>
      <c r="W809" s="39"/>
    </row>
    <row r="810" spans="1:26">
      <c r="A810" s="39"/>
      <c r="B810" s="39"/>
      <c r="C810" s="39"/>
      <c r="D810" s="39"/>
      <c r="E810" s="39"/>
      <c r="F810" s="39"/>
      <c r="G810" s="39"/>
      <c r="Q810" s="40">
        <v>2018</v>
      </c>
      <c r="R810" s="40" t="s">
        <v>102</v>
      </c>
      <c r="S810" s="40" t="s">
        <v>43</v>
      </c>
      <c r="T810" s="40" t="s">
        <v>148</v>
      </c>
      <c r="U810" s="49">
        <v>2813</v>
      </c>
      <c r="V810" s="40"/>
      <c r="W810" s="40"/>
      <c r="Z810" s="37" t="s">
        <v>112</v>
      </c>
    </row>
    <row r="811" spans="1:26">
      <c r="A811" s="40"/>
      <c r="B811" s="40"/>
      <c r="C811" s="40"/>
      <c r="D811" s="40"/>
      <c r="E811" s="40"/>
      <c r="F811" s="40"/>
      <c r="G811" s="40"/>
      <c r="Q811" s="39"/>
      <c r="R811" s="39"/>
      <c r="S811" s="39"/>
      <c r="T811" s="39"/>
      <c r="U811" s="39"/>
      <c r="V811" s="39"/>
      <c r="W811" s="39"/>
    </row>
    <row r="812" spans="1:26">
      <c r="A812" s="39"/>
      <c r="B812" s="39"/>
      <c r="C812" s="39"/>
      <c r="D812" s="39"/>
      <c r="E812" s="39"/>
      <c r="F812" s="39"/>
      <c r="G812" s="39"/>
      <c r="Q812" s="40">
        <v>2018</v>
      </c>
      <c r="R812" s="40" t="s">
        <v>102</v>
      </c>
      <c r="S812" s="40" t="s">
        <v>44</v>
      </c>
      <c r="T812" s="40" t="s">
        <v>130</v>
      </c>
      <c r="U812" s="49">
        <v>152483</v>
      </c>
      <c r="V812" s="40"/>
      <c r="W812" s="40"/>
    </row>
    <row r="813" spans="1:26">
      <c r="A813" s="40"/>
      <c r="B813" s="40"/>
      <c r="C813" s="40"/>
      <c r="D813" s="40"/>
      <c r="E813" s="40"/>
      <c r="F813" s="40"/>
      <c r="G813" s="40"/>
      <c r="Q813" s="39">
        <v>2018</v>
      </c>
      <c r="R813" s="39" t="s">
        <v>102</v>
      </c>
      <c r="S813" s="39" t="s">
        <v>44</v>
      </c>
      <c r="T813" s="39" t="s">
        <v>131</v>
      </c>
      <c r="U813" s="50">
        <v>128627</v>
      </c>
      <c r="V813" s="39"/>
      <c r="W813" s="39"/>
    </row>
    <row r="814" spans="1:26">
      <c r="A814" s="39"/>
      <c r="B814" s="39"/>
      <c r="C814" s="39"/>
      <c r="D814" s="39"/>
      <c r="E814" s="39"/>
      <c r="F814" s="39"/>
      <c r="G814" s="39"/>
      <c r="Q814" s="40">
        <v>2018</v>
      </c>
      <c r="R814" s="40" t="s">
        <v>102</v>
      </c>
      <c r="S814" s="40" t="s">
        <v>44</v>
      </c>
      <c r="T814" s="40" t="s">
        <v>132</v>
      </c>
      <c r="U814" s="49">
        <v>107554</v>
      </c>
      <c r="V814" s="40"/>
      <c r="W814" s="40"/>
    </row>
    <row r="815" spans="1:26">
      <c r="A815" s="40"/>
      <c r="B815" s="40"/>
      <c r="C815" s="40"/>
      <c r="D815" s="40"/>
      <c r="E815" s="40"/>
      <c r="F815" s="40"/>
      <c r="G815" s="40"/>
      <c r="Q815" s="39">
        <v>2018</v>
      </c>
      <c r="R815" s="39" t="s">
        <v>102</v>
      </c>
      <c r="S815" s="39" t="s">
        <v>44</v>
      </c>
      <c r="T815" s="39" t="s">
        <v>117</v>
      </c>
      <c r="U815" s="50">
        <v>94678</v>
      </c>
      <c r="V815" s="39"/>
      <c r="W815" s="39"/>
    </row>
    <row r="816" spans="1:26">
      <c r="A816" s="39"/>
      <c r="B816" s="39"/>
      <c r="C816" s="39"/>
      <c r="D816" s="39"/>
      <c r="E816" s="39"/>
      <c r="F816" s="39"/>
      <c r="G816" s="39"/>
      <c r="Q816" s="40">
        <v>2018</v>
      </c>
      <c r="R816" s="40" t="s">
        <v>102</v>
      </c>
      <c r="S816" s="40" t="s">
        <v>44</v>
      </c>
      <c r="T816" s="40" t="s">
        <v>133</v>
      </c>
      <c r="U816" s="49">
        <v>79244</v>
      </c>
      <c r="V816" s="40"/>
      <c r="W816" s="40"/>
    </row>
    <row r="817" spans="1:23">
      <c r="A817" s="40"/>
      <c r="B817" s="40"/>
      <c r="C817" s="40"/>
      <c r="D817" s="40"/>
      <c r="E817" s="40"/>
      <c r="F817" s="40"/>
      <c r="G817" s="40"/>
      <c r="Q817" s="39">
        <v>2018</v>
      </c>
      <c r="R817" s="39" t="s">
        <v>102</v>
      </c>
      <c r="S817" s="39" t="s">
        <v>44</v>
      </c>
      <c r="T817" s="39" t="s">
        <v>134</v>
      </c>
      <c r="U817" s="50">
        <v>65023</v>
      </c>
      <c r="V817" s="39"/>
      <c r="W817" s="39"/>
    </row>
    <row r="818" spans="1:23">
      <c r="A818" s="39"/>
      <c r="B818" s="39"/>
      <c r="C818" s="39"/>
      <c r="D818" s="39"/>
      <c r="E818" s="39"/>
      <c r="F818" s="39"/>
      <c r="G818" s="39"/>
      <c r="Q818" s="40">
        <v>2018</v>
      </c>
      <c r="R818" s="40" t="s">
        <v>102</v>
      </c>
      <c r="S818" s="40" t="s">
        <v>44</v>
      </c>
      <c r="T818" s="40" t="s">
        <v>135</v>
      </c>
      <c r="U818" s="49">
        <v>55240</v>
      </c>
      <c r="V818" s="40"/>
      <c r="W818" s="40"/>
    </row>
    <row r="819" spans="1:23">
      <c r="A819" s="40"/>
      <c r="B819" s="40"/>
      <c r="C819" s="40"/>
      <c r="D819" s="40"/>
      <c r="E819" s="40"/>
      <c r="F819" s="40"/>
      <c r="G819" s="40"/>
      <c r="Q819" s="39">
        <v>2018</v>
      </c>
      <c r="R819" s="39" t="s">
        <v>102</v>
      </c>
      <c r="S819" s="39" t="s">
        <v>44</v>
      </c>
      <c r="T819" s="39" t="s">
        <v>136</v>
      </c>
      <c r="U819" s="50">
        <v>46348</v>
      </c>
      <c r="V819" s="39"/>
      <c r="W819" s="39"/>
    </row>
    <row r="820" spans="1:23">
      <c r="A820" s="39"/>
      <c r="B820" s="39"/>
      <c r="C820" s="39"/>
      <c r="D820" s="39"/>
      <c r="E820" s="39"/>
      <c r="F820" s="39"/>
      <c r="G820" s="39"/>
      <c r="Q820" s="40">
        <v>2018</v>
      </c>
      <c r="R820" s="40" t="s">
        <v>102</v>
      </c>
      <c r="S820" s="40" t="s">
        <v>44</v>
      </c>
      <c r="T820" s="40" t="s">
        <v>137</v>
      </c>
      <c r="U820" s="49">
        <v>36844</v>
      </c>
      <c r="V820" s="40"/>
      <c r="W820" s="40"/>
    </row>
    <row r="821" spans="1:23">
      <c r="A821" s="40"/>
      <c r="B821" s="40"/>
      <c r="C821" s="40"/>
      <c r="D821" s="40"/>
      <c r="E821" s="40"/>
      <c r="F821" s="40"/>
      <c r="G821" s="40"/>
      <c r="Q821" s="39">
        <v>2018</v>
      </c>
      <c r="R821" s="39" t="s">
        <v>102</v>
      </c>
      <c r="S821" s="39" t="s">
        <v>44</v>
      </c>
      <c r="T821" s="39" t="s">
        <v>138</v>
      </c>
      <c r="U821" s="50">
        <v>25479</v>
      </c>
      <c r="V821" s="39"/>
      <c r="W821" s="39"/>
    </row>
    <row r="822" spans="1:23">
      <c r="A822" s="39"/>
      <c r="B822" s="39"/>
      <c r="C822" s="39"/>
      <c r="D822" s="39"/>
      <c r="E822" s="39"/>
      <c r="F822" s="39"/>
      <c r="G822" s="39"/>
      <c r="Q822" s="40">
        <v>2018</v>
      </c>
      <c r="R822" s="40" t="s">
        <v>102</v>
      </c>
      <c r="S822" s="40" t="s">
        <v>44</v>
      </c>
      <c r="T822" s="40" t="s">
        <v>139</v>
      </c>
      <c r="U822" s="49">
        <v>18822</v>
      </c>
      <c r="V822" s="40"/>
      <c r="W822" s="40"/>
    </row>
    <row r="823" spans="1:23">
      <c r="A823" s="40"/>
      <c r="B823" s="40"/>
      <c r="C823" s="40"/>
      <c r="D823" s="40"/>
      <c r="E823" s="40"/>
      <c r="F823" s="40"/>
      <c r="G823" s="40"/>
      <c r="Q823" s="39">
        <v>2018</v>
      </c>
      <c r="R823" s="39" t="s">
        <v>102</v>
      </c>
      <c r="S823" s="39" t="s">
        <v>44</v>
      </c>
      <c r="T823" s="39" t="s">
        <v>140</v>
      </c>
      <c r="U823" s="50">
        <v>15746</v>
      </c>
      <c r="V823" s="39"/>
      <c r="W823" s="39"/>
    </row>
    <row r="824" spans="1:23">
      <c r="A824" s="39"/>
      <c r="B824" s="39"/>
      <c r="C824" s="39"/>
      <c r="D824" s="39"/>
      <c r="E824" s="39"/>
      <c r="F824" s="39"/>
      <c r="G824" s="39"/>
      <c r="Q824" s="40">
        <v>2018</v>
      </c>
      <c r="R824" s="40" t="s">
        <v>102</v>
      </c>
      <c r="S824" s="40" t="s">
        <v>44</v>
      </c>
      <c r="T824" s="40" t="s">
        <v>141</v>
      </c>
      <c r="U824" s="49">
        <v>11091</v>
      </c>
      <c r="V824" s="40"/>
      <c r="W824" s="40"/>
    </row>
    <row r="825" spans="1:23">
      <c r="A825" s="40"/>
      <c r="B825" s="40"/>
      <c r="C825" s="40"/>
      <c r="D825" s="40"/>
      <c r="E825" s="40"/>
      <c r="F825" s="40"/>
      <c r="G825" s="40"/>
      <c r="Q825" s="39">
        <v>2018</v>
      </c>
      <c r="R825" s="39" t="s">
        <v>102</v>
      </c>
      <c r="S825" s="39" t="s">
        <v>44</v>
      </c>
      <c r="T825" s="39" t="s">
        <v>142</v>
      </c>
      <c r="U825" s="50">
        <v>8141</v>
      </c>
      <c r="V825" s="39"/>
      <c r="W825" s="39"/>
    </row>
    <row r="826" spans="1:23">
      <c r="A826" s="39"/>
      <c r="B826" s="39"/>
      <c r="C826" s="39"/>
      <c r="D826" s="39"/>
      <c r="E826" s="39"/>
      <c r="F826" s="39"/>
      <c r="G826" s="39"/>
      <c r="Q826" s="40">
        <v>2018</v>
      </c>
      <c r="R826" s="40" t="s">
        <v>102</v>
      </c>
      <c r="S826" s="40" t="s">
        <v>44</v>
      </c>
      <c r="T826" s="40" t="s">
        <v>143</v>
      </c>
      <c r="U826" s="49">
        <v>5519</v>
      </c>
      <c r="V826" s="40"/>
      <c r="W826" s="40"/>
    </row>
    <row r="827" spans="1:23">
      <c r="A827" s="40"/>
      <c r="B827" s="40"/>
      <c r="C827" s="40"/>
      <c r="D827" s="40"/>
      <c r="E827" s="40"/>
      <c r="F827" s="40"/>
      <c r="G827" s="40"/>
      <c r="Q827" s="39">
        <v>2018</v>
      </c>
      <c r="R827" s="39" t="s">
        <v>102</v>
      </c>
      <c r="S827" s="39" t="s">
        <v>44</v>
      </c>
      <c r="T827" s="39" t="s">
        <v>144</v>
      </c>
      <c r="U827" s="50">
        <v>2934</v>
      </c>
      <c r="V827" s="39"/>
      <c r="W827" s="39"/>
    </row>
    <row r="828" spans="1:23">
      <c r="A828" s="39"/>
      <c r="B828" s="39"/>
      <c r="C828" s="39"/>
      <c r="D828" s="39"/>
      <c r="E828" s="39"/>
      <c r="F828" s="39"/>
      <c r="G828" s="39"/>
      <c r="Q828" s="40">
        <v>2018</v>
      </c>
      <c r="R828" s="40" t="s">
        <v>102</v>
      </c>
      <c r="S828" s="40" t="s">
        <v>44</v>
      </c>
      <c r="T828" s="40" t="s">
        <v>148</v>
      </c>
      <c r="U828" s="49">
        <v>1937</v>
      </c>
      <c r="V828" s="40"/>
      <c r="W828" s="40"/>
    </row>
    <row r="829" spans="1:23">
      <c r="A829" s="40"/>
      <c r="B829" s="40"/>
      <c r="C829" s="40"/>
      <c r="D829" s="40"/>
      <c r="E829" s="40"/>
      <c r="F829" s="40"/>
      <c r="G829" s="40"/>
      <c r="Q829" s="39"/>
      <c r="R829" s="39"/>
      <c r="S829" s="39"/>
      <c r="T829" s="39"/>
      <c r="U829" s="39"/>
      <c r="V829" s="39"/>
      <c r="W829" s="39"/>
    </row>
    <row r="830" spans="1:23">
      <c r="A830" s="39"/>
      <c r="B830" s="39"/>
      <c r="C830" s="39"/>
      <c r="D830" s="39"/>
      <c r="E830" s="39"/>
      <c r="F830" s="39"/>
      <c r="G830" s="39"/>
      <c r="Q830" s="40"/>
      <c r="R830" s="40"/>
      <c r="S830" s="40"/>
      <c r="T830" s="40"/>
      <c r="U830" s="40"/>
      <c r="V830" s="40"/>
      <c r="W830" s="40"/>
    </row>
    <row r="831" spans="1:23">
      <c r="A831" s="40"/>
      <c r="B831" s="40"/>
      <c r="C831" s="40"/>
      <c r="D831" s="40"/>
      <c r="E831" s="40"/>
      <c r="F831" s="40"/>
      <c r="G831" s="40"/>
      <c r="Q831" s="39"/>
      <c r="R831" s="39"/>
      <c r="S831" s="39"/>
      <c r="T831" s="39"/>
      <c r="U831" s="39"/>
      <c r="V831" s="39"/>
      <c r="W831" s="39"/>
    </row>
    <row r="832" spans="1:23">
      <c r="A832" s="39"/>
      <c r="B832" s="39"/>
      <c r="C832" s="39"/>
      <c r="D832" s="39"/>
      <c r="E832" s="39"/>
      <c r="F832" s="39"/>
      <c r="G832" s="39"/>
      <c r="Q832" s="40"/>
      <c r="R832" s="40"/>
      <c r="S832" s="40"/>
      <c r="T832" s="40"/>
      <c r="U832" s="40"/>
      <c r="V832" s="40"/>
      <c r="W832" s="40"/>
    </row>
    <row r="833" spans="1:23">
      <c r="A833" s="40"/>
      <c r="B833" s="40"/>
      <c r="C833" s="40"/>
      <c r="D833" s="40"/>
      <c r="E833" s="40"/>
      <c r="F833" s="40"/>
      <c r="G833" s="40"/>
      <c r="Q833" s="39"/>
      <c r="R833" s="39"/>
      <c r="S833" s="39"/>
      <c r="T833" s="39"/>
      <c r="U833" s="39"/>
      <c r="V833" s="39"/>
      <c r="W833" s="39"/>
    </row>
    <row r="834" spans="1:23">
      <c r="A834" s="39"/>
      <c r="B834" s="39"/>
      <c r="C834" s="39"/>
      <c r="D834" s="39"/>
      <c r="E834" s="39"/>
      <c r="F834" s="39"/>
      <c r="G834" s="39"/>
      <c r="Q834" s="40"/>
      <c r="R834" s="40"/>
      <c r="S834" s="40"/>
      <c r="T834" s="40"/>
      <c r="U834" s="40"/>
      <c r="V834" s="40"/>
      <c r="W834" s="40"/>
    </row>
    <row r="835" spans="1:23">
      <c r="A835" s="40"/>
      <c r="B835" s="40"/>
      <c r="C835" s="40"/>
      <c r="D835" s="40"/>
      <c r="E835" s="40"/>
      <c r="F835" s="40"/>
      <c r="G835" s="40"/>
      <c r="Q835" s="39"/>
      <c r="R835" s="39"/>
      <c r="S835" s="39"/>
      <c r="T835" s="39"/>
      <c r="U835" s="39"/>
      <c r="V835" s="39"/>
      <c r="W835" s="39"/>
    </row>
    <row r="836" spans="1:23">
      <c r="A836" s="39"/>
      <c r="B836" s="39"/>
      <c r="C836" s="39"/>
      <c r="D836" s="39"/>
      <c r="E836" s="39"/>
      <c r="F836" s="39"/>
      <c r="G836" s="39"/>
      <c r="Q836" s="40"/>
      <c r="R836" s="40"/>
      <c r="S836" s="40"/>
      <c r="T836" s="40"/>
      <c r="U836" s="40"/>
      <c r="V836" s="40"/>
      <c r="W836" s="40"/>
    </row>
    <row r="837" spans="1:23">
      <c r="A837" s="40"/>
      <c r="B837" s="40"/>
      <c r="C837" s="40"/>
      <c r="D837" s="40"/>
      <c r="E837" s="40"/>
      <c r="F837" s="40"/>
      <c r="G837" s="40"/>
      <c r="Q837" s="39"/>
      <c r="R837" s="39"/>
      <c r="S837" s="39"/>
      <c r="T837" s="39"/>
      <c r="U837" s="39"/>
      <c r="V837" s="39"/>
      <c r="W837" s="39"/>
    </row>
    <row r="838" spans="1:23">
      <c r="A838" s="39"/>
      <c r="B838" s="39"/>
      <c r="C838" s="39"/>
      <c r="D838" s="39"/>
      <c r="E838" s="39"/>
      <c r="F838" s="39"/>
      <c r="G838" s="39"/>
      <c r="Q838" s="40"/>
      <c r="R838" s="40"/>
      <c r="S838" s="40"/>
      <c r="T838" s="40"/>
      <c r="U838" s="40"/>
      <c r="V838" s="40"/>
      <c r="W838" s="40"/>
    </row>
    <row r="839" spans="1:23">
      <c r="A839" s="40"/>
      <c r="B839" s="40"/>
      <c r="C839" s="40"/>
      <c r="D839" s="40"/>
      <c r="E839" s="40"/>
      <c r="F839" s="40"/>
      <c r="G839" s="40"/>
      <c r="Q839" s="39"/>
      <c r="R839" s="39"/>
      <c r="S839" s="39"/>
      <c r="T839" s="39"/>
      <c r="U839" s="39"/>
      <c r="V839" s="39"/>
      <c r="W839" s="39"/>
    </row>
    <row r="840" spans="1:23">
      <c r="A840" s="39"/>
      <c r="B840" s="39"/>
      <c r="C840" s="39"/>
      <c r="D840" s="39"/>
      <c r="E840" s="39"/>
      <c r="F840" s="39"/>
      <c r="G840" s="39"/>
      <c r="Q840" s="40"/>
      <c r="R840" s="40"/>
      <c r="S840" s="40"/>
      <c r="T840" s="40"/>
      <c r="U840" s="40"/>
      <c r="V840" s="40"/>
      <c r="W840" s="40"/>
    </row>
    <row r="841" spans="1:23">
      <c r="A841" s="40"/>
      <c r="B841" s="40"/>
      <c r="C841" s="40"/>
      <c r="D841" s="40"/>
      <c r="E841" s="40"/>
      <c r="F841" s="40"/>
      <c r="G841" s="40"/>
      <c r="Q841" s="39"/>
      <c r="R841" s="39"/>
      <c r="S841" s="39"/>
      <c r="T841" s="39"/>
      <c r="U841" s="39"/>
      <c r="V841" s="39"/>
      <c r="W841" s="39"/>
    </row>
    <row r="842" spans="1:23">
      <c r="A842" s="39"/>
      <c r="B842" s="39"/>
      <c r="C842" s="39"/>
      <c r="D842" s="39"/>
      <c r="E842" s="39"/>
      <c r="F842" s="39"/>
      <c r="G842" s="39"/>
      <c r="Q842" s="40"/>
      <c r="R842" s="40"/>
      <c r="S842" s="40"/>
      <c r="T842" s="40"/>
      <c r="U842" s="40"/>
      <c r="V842" s="40"/>
      <c r="W842" s="40"/>
    </row>
    <row r="843" spans="1:23">
      <c r="A843" s="40"/>
      <c r="B843" s="40"/>
      <c r="C843" s="40"/>
      <c r="D843" s="40"/>
      <c r="E843" s="40"/>
      <c r="F843" s="40"/>
      <c r="G843" s="40"/>
      <c r="Q843" s="39"/>
      <c r="R843" s="39"/>
      <c r="S843" s="39"/>
      <c r="T843" s="39"/>
      <c r="U843" s="39"/>
      <c r="V843" s="39"/>
      <c r="W843" s="39"/>
    </row>
    <row r="844" spans="1:23">
      <c r="A844" s="39"/>
      <c r="B844" s="39"/>
      <c r="C844" s="39"/>
      <c r="D844" s="39"/>
      <c r="E844" s="39"/>
      <c r="F844" s="39"/>
      <c r="G844" s="39"/>
      <c r="Q844" s="40"/>
      <c r="R844" s="40"/>
      <c r="S844" s="40"/>
      <c r="T844" s="40"/>
      <c r="U844" s="40"/>
      <c r="V844" s="40"/>
      <c r="W844" s="40"/>
    </row>
    <row r="845" spans="1:23">
      <c r="A845" s="40"/>
      <c r="B845" s="40"/>
      <c r="C845" s="40"/>
      <c r="D845" s="40"/>
      <c r="E845" s="40"/>
      <c r="F845" s="40"/>
      <c r="G845" s="40"/>
      <c r="Q845" s="39"/>
      <c r="R845" s="39"/>
      <c r="S845" s="39"/>
      <c r="T845" s="39"/>
      <c r="U845" s="39"/>
      <c r="V845" s="39"/>
      <c r="W845" s="39"/>
    </row>
    <row r="846" spans="1:23">
      <c r="A846" s="39"/>
      <c r="B846" s="39"/>
      <c r="C846" s="39"/>
      <c r="D846" s="39"/>
      <c r="E846" s="39"/>
      <c r="F846" s="39"/>
      <c r="G846" s="39"/>
      <c r="Q846" s="40"/>
      <c r="R846" s="40"/>
      <c r="S846" s="40"/>
      <c r="T846" s="40"/>
      <c r="U846" s="40"/>
      <c r="V846" s="40"/>
      <c r="W846" s="40"/>
    </row>
    <row r="847" spans="1:23">
      <c r="A847" s="40"/>
      <c r="B847" s="40"/>
      <c r="C847" s="40"/>
      <c r="D847" s="40"/>
      <c r="E847" s="40"/>
      <c r="F847" s="40"/>
      <c r="G847" s="40"/>
      <c r="Q847" s="39"/>
      <c r="R847" s="39"/>
      <c r="S847" s="39"/>
      <c r="T847" s="39"/>
      <c r="U847" s="39"/>
      <c r="V847" s="39"/>
      <c r="W847" s="39"/>
    </row>
    <row r="848" spans="1:23">
      <c r="A848" s="39"/>
      <c r="B848" s="39"/>
      <c r="C848" s="39"/>
      <c r="D848" s="39"/>
      <c r="E848" s="39"/>
      <c r="F848" s="39"/>
      <c r="G848" s="39"/>
      <c r="Q848" s="40"/>
      <c r="R848" s="40"/>
      <c r="S848" s="40"/>
      <c r="T848" s="40"/>
      <c r="U848" s="40"/>
      <c r="V848" s="40"/>
      <c r="W848" s="40"/>
    </row>
    <row r="849" spans="1:23">
      <c r="A849" s="40"/>
      <c r="B849" s="40"/>
      <c r="C849" s="40"/>
      <c r="D849" s="40"/>
      <c r="E849" s="40"/>
      <c r="F849" s="40"/>
      <c r="G849" s="40"/>
      <c r="Q849" s="39"/>
      <c r="R849" s="39"/>
      <c r="S849" s="39"/>
      <c r="T849" s="39"/>
      <c r="U849" s="39"/>
      <c r="V849" s="39"/>
      <c r="W849" s="39"/>
    </row>
    <row r="850" spans="1:23">
      <c r="A850" s="39"/>
      <c r="B850" s="39"/>
      <c r="C850" s="39"/>
      <c r="D850" s="39"/>
      <c r="E850" s="39"/>
      <c r="F850" s="39"/>
      <c r="G850" s="39"/>
      <c r="Q850" s="40"/>
      <c r="R850" s="40"/>
      <c r="S850" s="40"/>
      <c r="T850" s="40"/>
      <c r="U850" s="40"/>
      <c r="V850" s="40"/>
      <c r="W850" s="40"/>
    </row>
    <row r="851" spans="1:23">
      <c r="A851" s="40"/>
      <c r="B851" s="40"/>
      <c r="C851" s="40"/>
      <c r="D851" s="40"/>
      <c r="E851" s="40"/>
      <c r="F851" s="40"/>
      <c r="G851" s="40"/>
      <c r="Q851" s="39"/>
      <c r="R851" s="39"/>
      <c r="S851" s="39"/>
      <c r="T851" s="39"/>
      <c r="U851" s="39"/>
      <c r="V851" s="39"/>
      <c r="W851" s="39"/>
    </row>
    <row r="852" spans="1:23">
      <c r="A852" s="39"/>
      <c r="B852" s="39"/>
      <c r="C852" s="39"/>
      <c r="D852" s="39"/>
      <c r="E852" s="39"/>
      <c r="F852" s="39"/>
      <c r="G852" s="39"/>
      <c r="Q852" s="40"/>
      <c r="R852" s="40"/>
      <c r="S852" s="40"/>
      <c r="T852" s="40"/>
      <c r="U852" s="40"/>
      <c r="V852" s="40"/>
      <c r="W852" s="40"/>
    </row>
    <row r="853" spans="1:23">
      <c r="A853" s="40"/>
      <c r="B853" s="40"/>
      <c r="C853" s="40"/>
      <c r="D853" s="40"/>
      <c r="E853" s="40"/>
      <c r="F853" s="40"/>
      <c r="G853" s="40"/>
      <c r="Q853" s="39"/>
      <c r="R853" s="39"/>
      <c r="S853" s="39"/>
      <c r="T853" s="39"/>
      <c r="U853" s="39"/>
      <c r="V853" s="39"/>
      <c r="W853" s="39"/>
    </row>
    <row r="854" spans="1:23">
      <c r="A854" s="39"/>
      <c r="B854" s="39"/>
      <c r="C854" s="39"/>
      <c r="D854" s="39"/>
      <c r="E854" s="39"/>
      <c r="F854" s="39"/>
      <c r="G854" s="39"/>
      <c r="Q854" s="40"/>
      <c r="R854" s="40"/>
      <c r="S854" s="40"/>
      <c r="T854" s="40"/>
      <c r="U854" s="40"/>
      <c r="V854" s="40"/>
      <c r="W854" s="40"/>
    </row>
    <row r="855" spans="1:23">
      <c r="A855" s="40"/>
      <c r="B855" s="40"/>
      <c r="C855" s="40"/>
      <c r="D855" s="40"/>
      <c r="E855" s="40"/>
      <c r="F855" s="40"/>
      <c r="G855" s="40"/>
      <c r="Q855" s="39"/>
      <c r="R855" s="39"/>
      <c r="S855" s="39"/>
      <c r="T855" s="39"/>
      <c r="U855" s="39"/>
      <c r="V855" s="39"/>
      <c r="W855" s="39"/>
    </row>
    <row r="856" spans="1:23">
      <c r="A856" s="39"/>
      <c r="B856" s="39"/>
      <c r="C856" s="39"/>
      <c r="D856" s="39"/>
      <c r="E856" s="39"/>
      <c r="F856" s="39"/>
      <c r="G856" s="39"/>
      <c r="Q856" s="40"/>
      <c r="R856" s="40"/>
      <c r="S856" s="40"/>
      <c r="T856" s="40"/>
      <c r="U856" s="40"/>
      <c r="V856" s="40"/>
      <c r="W856" s="40"/>
    </row>
    <row r="857" spans="1:23">
      <c r="A857" s="40"/>
      <c r="B857" s="40"/>
      <c r="C857" s="40"/>
      <c r="D857" s="40"/>
      <c r="E857" s="40"/>
      <c r="F857" s="40"/>
      <c r="G857" s="40"/>
      <c r="Q857" s="39"/>
      <c r="R857" s="39"/>
      <c r="S857" s="39"/>
      <c r="T857" s="39"/>
      <c r="U857" s="39"/>
      <c r="V857" s="39"/>
      <c r="W857" s="39"/>
    </row>
    <row r="858" spans="1:23">
      <c r="A858" s="39"/>
      <c r="B858" s="39"/>
      <c r="C858" s="39"/>
      <c r="D858" s="39"/>
      <c r="E858" s="39"/>
      <c r="F858" s="39"/>
      <c r="G858" s="39"/>
      <c r="Q858" s="40"/>
      <c r="R858" s="40"/>
      <c r="S858" s="40"/>
      <c r="T858" s="40"/>
      <c r="U858" s="40"/>
      <c r="V858" s="40"/>
      <c r="W858" s="40"/>
    </row>
    <row r="859" spans="1:23">
      <c r="A859" s="40"/>
      <c r="B859" s="40"/>
      <c r="C859" s="40"/>
      <c r="D859" s="40"/>
      <c r="E859" s="40"/>
      <c r="F859" s="40"/>
      <c r="G859" s="40"/>
      <c r="Q859" s="39"/>
      <c r="R859" s="39"/>
      <c r="S859" s="39"/>
      <c r="T859" s="39"/>
      <c r="U859" s="39"/>
      <c r="V859" s="39"/>
      <c r="W859" s="39"/>
    </row>
    <row r="860" spans="1:23">
      <c r="A860" s="39"/>
      <c r="B860" s="39"/>
      <c r="C860" s="39"/>
      <c r="D860" s="39"/>
      <c r="E860" s="39"/>
      <c r="F860" s="39"/>
      <c r="G860" s="39"/>
      <c r="Q860" s="40"/>
      <c r="R860" s="40"/>
      <c r="S860" s="40"/>
      <c r="T860" s="40"/>
      <c r="U860" s="40"/>
      <c r="V860" s="40"/>
      <c r="W860" s="40"/>
    </row>
    <row r="861" spans="1:23">
      <c r="A861" s="40"/>
      <c r="B861" s="40"/>
      <c r="C861" s="40"/>
      <c r="D861" s="40"/>
      <c r="E861" s="40"/>
      <c r="F861" s="40"/>
      <c r="G861" s="40"/>
      <c r="Q861" s="39"/>
      <c r="R861" s="39"/>
      <c r="S861" s="39"/>
      <c r="T861" s="39"/>
      <c r="U861" s="39"/>
      <c r="V861" s="39"/>
      <c r="W861" s="39"/>
    </row>
    <row r="862" spans="1:23">
      <c r="A862" s="39"/>
      <c r="B862" s="39"/>
      <c r="C862" s="39"/>
      <c r="D862" s="39"/>
      <c r="E862" s="39"/>
      <c r="F862" s="39"/>
      <c r="G862" s="39"/>
      <c r="Q862" s="40"/>
      <c r="R862" s="40"/>
      <c r="S862" s="40"/>
      <c r="T862" s="40"/>
      <c r="U862" s="40"/>
      <c r="V862" s="40"/>
      <c r="W862" s="40"/>
    </row>
    <row r="863" spans="1:23">
      <c r="A863" s="40"/>
      <c r="B863" s="40"/>
      <c r="C863" s="40"/>
      <c r="D863" s="40"/>
      <c r="E863" s="40"/>
      <c r="F863" s="40"/>
      <c r="G863" s="40"/>
      <c r="Q863" s="39"/>
      <c r="R863" s="39"/>
      <c r="S863" s="39"/>
      <c r="T863" s="39"/>
      <c r="U863" s="39"/>
      <c r="V863" s="39"/>
      <c r="W863" s="39"/>
    </row>
    <row r="864" spans="1:23">
      <c r="A864" s="39"/>
      <c r="B864" s="39"/>
      <c r="C864" s="39"/>
      <c r="D864" s="39"/>
      <c r="E864" s="39"/>
      <c r="F864" s="39"/>
      <c r="G864" s="39"/>
      <c r="Q864" s="40"/>
      <c r="R864" s="40"/>
      <c r="S864" s="40"/>
      <c r="T864" s="40"/>
      <c r="U864" s="40"/>
      <c r="V864" s="40"/>
      <c r="W864" s="40"/>
    </row>
    <row r="865" spans="1:23">
      <c r="A865" s="40"/>
      <c r="B865" s="40"/>
      <c r="C865" s="40"/>
      <c r="D865" s="40"/>
      <c r="E865" s="40"/>
      <c r="F865" s="40"/>
      <c r="G865" s="40"/>
      <c r="Q865" s="39"/>
      <c r="R865" s="39"/>
      <c r="S865" s="39"/>
      <c r="T865" s="39"/>
      <c r="U865" s="39"/>
      <c r="V865" s="39"/>
      <c r="W865" s="39"/>
    </row>
    <row r="866" spans="1:23">
      <c r="A866" s="39"/>
      <c r="B866" s="39"/>
      <c r="C866" s="39"/>
      <c r="D866" s="39"/>
      <c r="E866" s="39"/>
      <c r="F866" s="39"/>
      <c r="G866" s="39"/>
      <c r="Q866" s="40"/>
      <c r="R866" s="40"/>
      <c r="S866" s="40"/>
      <c r="T866" s="40"/>
      <c r="U866" s="40"/>
      <c r="V866" s="40"/>
      <c r="W866" s="40"/>
    </row>
    <row r="867" spans="1:23">
      <c r="A867" s="40"/>
      <c r="B867" s="40"/>
      <c r="C867" s="40"/>
      <c r="D867" s="40"/>
      <c r="E867" s="40"/>
      <c r="F867" s="40"/>
      <c r="G867" s="40"/>
      <c r="Q867" s="39"/>
      <c r="R867" s="39"/>
      <c r="S867" s="39"/>
      <c r="T867" s="39"/>
      <c r="U867" s="39"/>
      <c r="V867" s="39"/>
      <c r="W867" s="39"/>
    </row>
    <row r="868" spans="1:23">
      <c r="A868" s="39"/>
      <c r="B868" s="39"/>
      <c r="C868" s="39"/>
      <c r="D868" s="39"/>
      <c r="E868" s="39"/>
      <c r="F868" s="39"/>
      <c r="G868" s="39"/>
      <c r="Q868" s="40"/>
      <c r="R868" s="40"/>
      <c r="S868" s="40"/>
      <c r="T868" s="40"/>
      <c r="U868" s="40"/>
      <c r="V868" s="40"/>
      <c r="W868" s="40"/>
    </row>
    <row r="869" spans="1:23">
      <c r="A869" s="40"/>
      <c r="B869" s="40"/>
      <c r="C869" s="40"/>
      <c r="D869" s="40"/>
      <c r="E869" s="40"/>
      <c r="F869" s="40"/>
      <c r="G869" s="40"/>
      <c r="Q869" s="39"/>
      <c r="R869" s="39"/>
      <c r="S869" s="39"/>
      <c r="T869" s="39"/>
      <c r="U869" s="39"/>
      <c r="V869" s="39"/>
      <c r="W869" s="39"/>
    </row>
    <row r="870" spans="1:23">
      <c r="A870" s="39"/>
      <c r="B870" s="39"/>
      <c r="C870" s="39"/>
      <c r="D870" s="39"/>
      <c r="E870" s="39"/>
      <c r="F870" s="39"/>
      <c r="G870" s="39"/>
      <c r="Q870" s="40"/>
      <c r="R870" s="40"/>
      <c r="S870" s="40"/>
      <c r="T870" s="40"/>
      <c r="U870" s="40"/>
      <c r="V870" s="40"/>
      <c r="W870" s="40"/>
    </row>
    <row r="871" spans="1:23">
      <c r="A871" s="40"/>
      <c r="B871" s="40"/>
      <c r="C871" s="40"/>
      <c r="D871" s="40"/>
      <c r="E871" s="40"/>
      <c r="F871" s="40"/>
      <c r="G871" s="40"/>
      <c r="Q871" s="39"/>
      <c r="R871" s="39"/>
      <c r="S871" s="39"/>
      <c r="T871" s="39"/>
      <c r="U871" s="39"/>
      <c r="V871" s="39"/>
      <c r="W871" s="39"/>
    </row>
    <row r="872" spans="1:23">
      <c r="A872" s="39"/>
      <c r="B872" s="39"/>
      <c r="C872" s="39"/>
      <c r="D872" s="39"/>
      <c r="E872" s="39"/>
      <c r="F872" s="39"/>
      <c r="G872" s="39"/>
      <c r="Q872" s="40"/>
      <c r="R872" s="40"/>
      <c r="S872" s="40"/>
      <c r="T872" s="40"/>
      <c r="U872" s="40"/>
      <c r="V872" s="40"/>
      <c r="W872" s="40"/>
    </row>
    <row r="873" spans="1:23">
      <c r="A873" s="40"/>
      <c r="B873" s="40"/>
      <c r="C873" s="40"/>
      <c r="D873" s="40"/>
      <c r="E873" s="40"/>
      <c r="F873" s="40"/>
      <c r="G873" s="40"/>
      <c r="Q873" s="39"/>
      <c r="R873" s="39"/>
      <c r="S873" s="39"/>
      <c r="T873" s="39"/>
      <c r="U873" s="39"/>
      <c r="V873" s="39"/>
      <c r="W873" s="39"/>
    </row>
    <row r="874" spans="1:23">
      <c r="A874" s="39"/>
      <c r="B874" s="39"/>
      <c r="C874" s="39"/>
      <c r="D874" s="39"/>
      <c r="E874" s="39"/>
      <c r="F874" s="39"/>
      <c r="G874" s="39"/>
      <c r="Q874" s="40"/>
      <c r="R874" s="40"/>
      <c r="S874" s="40"/>
      <c r="T874" s="40"/>
      <c r="U874" s="40"/>
      <c r="V874" s="40"/>
      <c r="W874" s="40"/>
    </row>
    <row r="875" spans="1:23">
      <c r="A875" s="40"/>
      <c r="B875" s="40"/>
      <c r="C875" s="40"/>
      <c r="D875" s="40"/>
      <c r="E875" s="40"/>
      <c r="F875" s="40"/>
      <c r="G875" s="40"/>
      <c r="Q875" s="39"/>
      <c r="R875" s="39"/>
      <c r="S875" s="39"/>
      <c r="T875" s="39"/>
      <c r="U875" s="39"/>
      <c r="V875" s="39"/>
      <c r="W875" s="39"/>
    </row>
    <row r="876" spans="1:23">
      <c r="A876" s="39"/>
      <c r="B876" s="39"/>
      <c r="C876" s="39"/>
      <c r="D876" s="39"/>
      <c r="E876" s="39"/>
      <c r="F876" s="39"/>
      <c r="G876" s="39"/>
      <c r="Q876" s="40"/>
      <c r="R876" s="40"/>
      <c r="S876" s="40"/>
      <c r="T876" s="40"/>
      <c r="U876" s="40"/>
      <c r="V876" s="40"/>
      <c r="W876" s="40"/>
    </row>
    <row r="877" spans="1:23">
      <c r="A877" s="40"/>
      <c r="B877" s="40"/>
      <c r="C877" s="40"/>
      <c r="D877" s="40"/>
      <c r="E877" s="40"/>
      <c r="F877" s="40"/>
      <c r="G877" s="40"/>
      <c r="Q877" s="39"/>
      <c r="R877" s="39"/>
      <c r="S877" s="39"/>
      <c r="T877" s="39"/>
      <c r="U877" s="39"/>
      <c r="V877" s="39"/>
      <c r="W877" s="39"/>
    </row>
    <row r="878" spans="1:23">
      <c r="A878" s="39"/>
      <c r="B878" s="39"/>
      <c r="C878" s="39"/>
      <c r="D878" s="39"/>
      <c r="E878" s="39"/>
      <c r="F878" s="39"/>
      <c r="G878" s="39"/>
      <c r="Q878" s="40"/>
      <c r="R878" s="40"/>
      <c r="S878" s="40"/>
      <c r="T878" s="40"/>
      <c r="U878" s="40"/>
      <c r="V878" s="40"/>
      <c r="W878" s="40"/>
    </row>
    <row r="879" spans="1:23">
      <c r="A879" s="40"/>
      <c r="B879" s="40"/>
      <c r="C879" s="40"/>
      <c r="D879" s="40"/>
      <c r="E879" s="40"/>
      <c r="F879" s="40"/>
      <c r="G879" s="40"/>
      <c r="Q879" s="39"/>
      <c r="R879" s="39"/>
      <c r="S879" s="39"/>
      <c r="T879" s="39"/>
      <c r="U879" s="39"/>
      <c r="V879" s="39"/>
      <c r="W879" s="39"/>
    </row>
    <row r="880" spans="1:23">
      <c r="A880" s="39"/>
      <c r="B880" s="39"/>
      <c r="C880" s="39"/>
      <c r="D880" s="39"/>
      <c r="E880" s="39"/>
      <c r="F880" s="39"/>
      <c r="G880" s="39"/>
      <c r="Q880" s="40"/>
      <c r="R880" s="40"/>
      <c r="S880" s="40"/>
      <c r="T880" s="40"/>
      <c r="U880" s="40"/>
      <c r="V880" s="40"/>
      <c r="W880" s="40"/>
    </row>
    <row r="881" spans="1:23">
      <c r="A881" s="40"/>
      <c r="B881" s="40"/>
      <c r="C881" s="40"/>
      <c r="D881" s="40"/>
      <c r="E881" s="40"/>
      <c r="F881" s="40"/>
      <c r="G881" s="40"/>
      <c r="Q881" s="39"/>
      <c r="R881" s="39"/>
      <c r="S881" s="39"/>
      <c r="T881" s="39"/>
      <c r="U881" s="39"/>
      <c r="V881" s="39"/>
      <c r="W881" s="39"/>
    </row>
    <row r="882" spans="1:23">
      <c r="A882" s="39"/>
      <c r="B882" s="39"/>
      <c r="C882" s="39"/>
      <c r="D882" s="39"/>
      <c r="E882" s="39"/>
      <c r="F882" s="39"/>
      <c r="G882" s="39"/>
      <c r="Q882" s="40"/>
      <c r="R882" s="40"/>
      <c r="S882" s="40"/>
      <c r="T882" s="40"/>
      <c r="U882" s="40"/>
      <c r="V882" s="40"/>
      <c r="W882" s="40"/>
    </row>
    <row r="883" spans="1:23">
      <c r="A883" s="40"/>
      <c r="B883" s="40"/>
      <c r="C883" s="40"/>
      <c r="D883" s="40"/>
      <c r="E883" s="40"/>
      <c r="F883" s="40"/>
      <c r="G883" s="40"/>
      <c r="Q883" s="39"/>
      <c r="R883" s="39"/>
      <c r="S883" s="39"/>
      <c r="T883" s="39"/>
      <c r="U883" s="39"/>
      <c r="V883" s="39"/>
      <c r="W883" s="39"/>
    </row>
    <row r="884" spans="1:23">
      <c r="A884" s="39"/>
      <c r="B884" s="39"/>
      <c r="C884" s="39"/>
      <c r="D884" s="39"/>
      <c r="E884" s="39"/>
      <c r="F884" s="39"/>
      <c r="G884" s="39"/>
      <c r="Q884" s="40"/>
      <c r="R884" s="40"/>
      <c r="S884" s="40"/>
      <c r="T884" s="40"/>
      <c r="U884" s="40"/>
      <c r="V884" s="40"/>
      <c r="W884" s="40"/>
    </row>
    <row r="885" spans="1:23">
      <c r="A885" s="40"/>
      <c r="B885" s="40"/>
      <c r="C885" s="40"/>
      <c r="D885" s="40"/>
      <c r="E885" s="40"/>
      <c r="F885" s="40"/>
      <c r="G885" s="40"/>
      <c r="Q885" s="39"/>
      <c r="R885" s="39"/>
      <c r="S885" s="39"/>
      <c r="T885" s="39"/>
      <c r="U885" s="39"/>
      <c r="V885" s="39"/>
      <c r="W885" s="39"/>
    </row>
    <row r="886" spans="1:23">
      <c r="A886" s="39"/>
      <c r="B886" s="39"/>
      <c r="C886" s="39"/>
      <c r="D886" s="39"/>
      <c r="E886" s="39"/>
      <c r="F886" s="39"/>
      <c r="G886" s="39"/>
      <c r="Q886" s="40"/>
      <c r="R886" s="40"/>
      <c r="S886" s="40"/>
      <c r="T886" s="40"/>
      <c r="U886" s="40"/>
      <c r="V886" s="40"/>
      <c r="W886" s="40"/>
    </row>
    <row r="887" spans="1:23">
      <c r="A887" s="40"/>
      <c r="B887" s="40"/>
      <c r="C887" s="40"/>
      <c r="D887" s="40"/>
      <c r="E887" s="40"/>
      <c r="F887" s="40"/>
      <c r="G887" s="40"/>
      <c r="Q887" s="39"/>
      <c r="R887" s="39"/>
      <c r="S887" s="39"/>
      <c r="T887" s="39"/>
      <c r="U887" s="39"/>
      <c r="V887" s="39"/>
      <c r="W887" s="39"/>
    </row>
    <row r="888" spans="1:23">
      <c r="A888" s="39"/>
      <c r="B888" s="39"/>
      <c r="C888" s="39"/>
      <c r="D888" s="39"/>
      <c r="E888" s="39"/>
      <c r="F888" s="39"/>
      <c r="G888" s="39"/>
      <c r="Q888" s="40"/>
      <c r="R888" s="40"/>
      <c r="S888" s="40"/>
      <c r="T888" s="40"/>
      <c r="U888" s="40"/>
      <c r="V888" s="40"/>
      <c r="W888" s="40"/>
    </row>
    <row r="889" spans="1:23">
      <c r="A889" s="40"/>
      <c r="B889" s="40"/>
      <c r="C889" s="40"/>
      <c r="D889" s="40"/>
      <c r="E889" s="40"/>
      <c r="F889" s="40"/>
      <c r="G889" s="40"/>
      <c r="Q889" s="39"/>
      <c r="R889" s="39"/>
      <c r="S889" s="39"/>
      <c r="T889" s="39"/>
      <c r="U889" s="39"/>
      <c r="V889" s="39"/>
      <c r="W889" s="39"/>
    </row>
    <row r="890" spans="1:23">
      <c r="A890" s="39"/>
      <c r="B890" s="39"/>
      <c r="C890" s="39"/>
      <c r="D890" s="39"/>
      <c r="E890" s="39"/>
      <c r="F890" s="39"/>
      <c r="G890" s="39"/>
      <c r="Q890" s="40"/>
      <c r="R890" s="40"/>
      <c r="S890" s="40"/>
      <c r="T890" s="40"/>
      <c r="U890" s="40"/>
      <c r="V890" s="40"/>
      <c r="W890" s="40"/>
    </row>
    <row r="891" spans="1:23">
      <c r="A891" s="40"/>
      <c r="B891" s="40"/>
      <c r="C891" s="40"/>
      <c r="D891" s="40"/>
      <c r="E891" s="40"/>
      <c r="F891" s="40"/>
      <c r="G891" s="40"/>
      <c r="Q891" s="39"/>
      <c r="R891" s="39"/>
      <c r="S891" s="39"/>
      <c r="T891" s="39"/>
      <c r="U891" s="39"/>
      <c r="V891" s="39"/>
      <c r="W891" s="39"/>
    </row>
    <row r="892" spans="1:23">
      <c r="A892" s="39"/>
      <c r="B892" s="39"/>
      <c r="C892" s="39"/>
      <c r="D892" s="39"/>
      <c r="E892" s="39"/>
      <c r="F892" s="39"/>
      <c r="G892" s="39"/>
      <c r="Q892" s="40"/>
      <c r="R892" s="40"/>
      <c r="S892" s="40"/>
      <c r="T892" s="40"/>
      <c r="U892" s="40"/>
      <c r="V892" s="40"/>
      <c r="W892" s="40"/>
    </row>
    <row r="893" spans="1:23">
      <c r="A893" s="40"/>
      <c r="B893" s="40"/>
      <c r="C893" s="40"/>
      <c r="D893" s="40"/>
      <c r="E893" s="40"/>
      <c r="F893" s="40"/>
      <c r="G893" s="40"/>
      <c r="Q893" s="39"/>
      <c r="R893" s="39"/>
      <c r="S893" s="39"/>
      <c r="T893" s="39"/>
      <c r="U893" s="39"/>
      <c r="V893" s="39"/>
      <c r="W893" s="39"/>
    </row>
    <row r="894" spans="1:23">
      <c r="A894" s="39"/>
      <c r="B894" s="39"/>
      <c r="C894" s="39"/>
      <c r="D894" s="39"/>
      <c r="E894" s="39"/>
      <c r="F894" s="39"/>
      <c r="G894" s="39"/>
      <c r="Q894" s="40"/>
      <c r="R894" s="40"/>
      <c r="S894" s="40"/>
      <c r="T894" s="40"/>
      <c r="U894" s="40"/>
      <c r="V894" s="40"/>
      <c r="W894" s="40"/>
    </row>
    <row r="895" spans="1:23">
      <c r="A895" s="40"/>
      <c r="B895" s="40"/>
      <c r="C895" s="40"/>
      <c r="D895" s="40"/>
      <c r="E895" s="40"/>
      <c r="F895" s="40"/>
      <c r="G895" s="40"/>
      <c r="Q895" s="39"/>
      <c r="R895" s="39"/>
      <c r="S895" s="39"/>
      <c r="T895" s="39"/>
      <c r="U895" s="39"/>
      <c r="V895" s="39"/>
      <c r="W895" s="39"/>
    </row>
    <row r="896" spans="1:23">
      <c r="A896" s="39"/>
      <c r="B896" s="39"/>
      <c r="C896" s="39"/>
      <c r="D896" s="39"/>
      <c r="E896" s="39"/>
      <c r="F896" s="39"/>
      <c r="G896" s="39"/>
      <c r="Q896" s="40"/>
      <c r="R896" s="40"/>
      <c r="S896" s="40"/>
      <c r="T896" s="40"/>
      <c r="U896" s="40"/>
      <c r="V896" s="40"/>
      <c r="W896" s="40"/>
    </row>
    <row r="897" spans="1:23">
      <c r="A897" s="40"/>
      <c r="B897" s="40"/>
      <c r="C897" s="40"/>
      <c r="D897" s="40"/>
      <c r="E897" s="40"/>
      <c r="F897" s="40"/>
      <c r="G897" s="40"/>
      <c r="Q897" s="39"/>
      <c r="R897" s="39"/>
      <c r="S897" s="39"/>
      <c r="T897" s="39"/>
      <c r="U897" s="39"/>
      <c r="V897" s="39"/>
      <c r="W897" s="39"/>
    </row>
    <row r="898" spans="1:23">
      <c r="A898" s="39"/>
      <c r="B898" s="39"/>
      <c r="C898" s="39"/>
      <c r="D898" s="39"/>
      <c r="E898" s="39"/>
      <c r="F898" s="39"/>
      <c r="G898" s="39"/>
      <c r="Q898" s="40"/>
      <c r="R898" s="40"/>
      <c r="S898" s="40"/>
      <c r="T898" s="40"/>
      <c r="U898" s="40"/>
      <c r="V898" s="40"/>
      <c r="W898" s="40"/>
    </row>
    <row r="899" spans="1:23">
      <c r="A899" s="40"/>
      <c r="B899" s="40"/>
      <c r="C899" s="40"/>
      <c r="D899" s="40"/>
      <c r="E899" s="40"/>
      <c r="F899" s="40"/>
      <c r="G899" s="40"/>
      <c r="Q899" s="39"/>
      <c r="R899" s="39"/>
      <c r="S899" s="39"/>
      <c r="T899" s="39"/>
      <c r="U899" s="39"/>
      <c r="V899" s="39"/>
      <c r="W899" s="39"/>
    </row>
    <row r="900" spans="1:23">
      <c r="A900" s="39"/>
      <c r="B900" s="39"/>
      <c r="C900" s="39"/>
      <c r="D900" s="39"/>
      <c r="E900" s="39"/>
      <c r="F900" s="39"/>
      <c r="G900" s="39"/>
      <c r="Q900" s="40"/>
      <c r="R900" s="40"/>
      <c r="S900" s="40"/>
      <c r="T900" s="40"/>
      <c r="U900" s="40"/>
      <c r="V900" s="40"/>
      <c r="W900" s="40"/>
    </row>
    <row r="901" spans="1:23">
      <c r="A901" s="40"/>
      <c r="B901" s="40"/>
      <c r="C901" s="40"/>
      <c r="D901" s="40"/>
      <c r="E901" s="40"/>
      <c r="F901" s="40"/>
      <c r="G901" s="40"/>
      <c r="Q901" s="39"/>
      <c r="R901" s="39"/>
      <c r="S901" s="39"/>
      <c r="T901" s="39"/>
      <c r="U901" s="39"/>
      <c r="V901" s="39"/>
      <c r="W901" s="39"/>
    </row>
    <row r="902" spans="1:23">
      <c r="A902" s="39"/>
      <c r="B902" s="39"/>
      <c r="C902" s="39"/>
      <c r="D902" s="39"/>
      <c r="E902" s="39"/>
      <c r="F902" s="39"/>
      <c r="G902" s="39"/>
      <c r="Q902" s="40"/>
      <c r="R902" s="40"/>
      <c r="S902" s="40"/>
      <c r="T902" s="40"/>
      <c r="U902" s="40"/>
      <c r="V902" s="40"/>
      <c r="W902" s="40"/>
    </row>
    <row r="903" spans="1:23">
      <c r="A903" s="40"/>
      <c r="B903" s="40"/>
      <c r="C903" s="40"/>
      <c r="D903" s="40"/>
      <c r="E903" s="40"/>
      <c r="F903" s="40"/>
      <c r="G903" s="40"/>
      <c r="Q903" s="39"/>
      <c r="R903" s="39"/>
      <c r="S903" s="39"/>
      <c r="T903" s="39"/>
      <c r="U903" s="39"/>
      <c r="V903" s="39"/>
      <c r="W903" s="39"/>
    </row>
    <row r="904" spans="1:23">
      <c r="A904" s="39"/>
      <c r="B904" s="39"/>
      <c r="C904" s="39"/>
      <c r="D904" s="39"/>
      <c r="E904" s="39"/>
      <c r="F904" s="39"/>
      <c r="G904" s="39"/>
      <c r="Q904" s="40"/>
      <c r="R904" s="40"/>
      <c r="S904" s="40"/>
      <c r="T904" s="40"/>
      <c r="U904" s="40"/>
      <c r="V904" s="40"/>
      <c r="W904" s="40"/>
    </row>
    <row r="905" spans="1:23">
      <c r="A905" s="40"/>
      <c r="B905" s="40"/>
      <c r="C905" s="40"/>
      <c r="D905" s="40"/>
      <c r="E905" s="40"/>
      <c r="F905" s="40"/>
      <c r="G905" s="40"/>
      <c r="Q905" s="39"/>
      <c r="R905" s="39"/>
      <c r="S905" s="39"/>
      <c r="T905" s="39"/>
      <c r="U905" s="39"/>
      <c r="V905" s="39"/>
      <c r="W905" s="39"/>
    </row>
    <row r="906" spans="1:23">
      <c r="A906" s="39"/>
      <c r="B906" s="39"/>
      <c r="C906" s="39"/>
      <c r="D906" s="39"/>
      <c r="E906" s="39"/>
      <c r="F906" s="39"/>
      <c r="G906" s="39"/>
      <c r="Q906" s="40"/>
      <c r="R906" s="40"/>
      <c r="S906" s="40"/>
      <c r="T906" s="40"/>
      <c r="U906" s="40"/>
      <c r="V906" s="40"/>
      <c r="W906" s="40"/>
    </row>
    <row r="907" spans="1:23">
      <c r="A907" s="40"/>
      <c r="B907" s="40"/>
      <c r="C907" s="40"/>
      <c r="D907" s="40"/>
      <c r="E907" s="40"/>
      <c r="F907" s="40"/>
      <c r="G907" s="40"/>
      <c r="Q907" s="39"/>
      <c r="R907" s="39"/>
      <c r="S907" s="39"/>
      <c r="T907" s="39"/>
      <c r="U907" s="39"/>
      <c r="V907" s="39"/>
      <c r="W907" s="39"/>
    </row>
    <row r="908" spans="1:23">
      <c r="A908" s="39"/>
      <c r="B908" s="39"/>
      <c r="C908" s="39"/>
      <c r="D908" s="39"/>
      <c r="E908" s="39"/>
      <c r="F908" s="39"/>
      <c r="G908" s="39"/>
      <c r="Q908" s="40"/>
      <c r="R908" s="40"/>
      <c r="S908" s="40"/>
      <c r="T908" s="40"/>
      <c r="U908" s="40"/>
      <c r="V908" s="40"/>
      <c r="W908" s="40"/>
    </row>
    <row r="909" spans="1:23">
      <c r="A909" s="40"/>
      <c r="B909" s="40"/>
      <c r="C909" s="40"/>
      <c r="D909" s="40"/>
      <c r="E909" s="40"/>
      <c r="F909" s="40"/>
      <c r="G909" s="40"/>
      <c r="Q909" s="39"/>
      <c r="R909" s="39"/>
      <c r="S909" s="39"/>
      <c r="T909" s="39"/>
      <c r="U909" s="39"/>
      <c r="V909" s="39"/>
      <c r="W909" s="39"/>
    </row>
    <row r="910" spans="1:23">
      <c r="A910" s="39"/>
      <c r="B910" s="39"/>
      <c r="C910" s="39"/>
      <c r="D910" s="39"/>
      <c r="E910" s="39"/>
      <c r="F910" s="39"/>
      <c r="G910" s="39"/>
      <c r="Q910" s="40"/>
      <c r="R910" s="40"/>
      <c r="S910" s="40"/>
      <c r="T910" s="40"/>
      <c r="U910" s="40"/>
      <c r="V910" s="40"/>
      <c r="W910" s="40"/>
    </row>
    <row r="911" spans="1:23">
      <c r="A911" s="40"/>
      <c r="B911" s="40"/>
      <c r="C911" s="40"/>
      <c r="D911" s="40"/>
      <c r="E911" s="40"/>
      <c r="F911" s="40"/>
      <c r="G911" s="40"/>
      <c r="Q911" s="39"/>
      <c r="R911" s="39"/>
      <c r="S911" s="39"/>
      <c r="T911" s="39"/>
      <c r="U911" s="39"/>
      <c r="V911" s="39"/>
      <c r="W911" s="39"/>
    </row>
    <row r="912" spans="1:23">
      <c r="A912" s="39"/>
      <c r="B912" s="39"/>
      <c r="C912" s="39"/>
      <c r="D912" s="39"/>
      <c r="E912" s="39"/>
      <c r="F912" s="39"/>
      <c r="G912" s="39"/>
      <c r="Q912" s="40"/>
      <c r="R912" s="40"/>
      <c r="S912" s="40"/>
      <c r="T912" s="40"/>
      <c r="U912" s="40"/>
      <c r="V912" s="40"/>
      <c r="W912" s="40"/>
    </row>
    <row r="913" spans="1:23">
      <c r="A913" s="40"/>
      <c r="B913" s="40"/>
      <c r="C913" s="40"/>
      <c r="D913" s="40"/>
      <c r="E913" s="40"/>
      <c r="F913" s="40"/>
      <c r="G913" s="40"/>
      <c r="Q913" s="39"/>
      <c r="R913" s="39"/>
      <c r="S913" s="39"/>
      <c r="T913" s="39"/>
      <c r="U913" s="39"/>
      <c r="V913" s="39"/>
      <c r="W913" s="39"/>
    </row>
    <row r="914" spans="1:23">
      <c r="A914" s="39"/>
      <c r="B914" s="39"/>
      <c r="C914" s="39"/>
      <c r="D914" s="39"/>
      <c r="E914" s="39"/>
      <c r="F914" s="39"/>
      <c r="G914" s="39"/>
      <c r="Q914" s="40"/>
      <c r="R914" s="40"/>
      <c r="S914" s="40"/>
      <c r="T914" s="40"/>
      <c r="U914" s="40"/>
      <c r="V914" s="40"/>
      <c r="W914" s="40"/>
    </row>
    <row r="915" spans="1:23">
      <c r="A915" s="40"/>
      <c r="B915" s="40"/>
      <c r="C915" s="40"/>
      <c r="D915" s="40"/>
      <c r="E915" s="40"/>
      <c r="F915" s="40"/>
      <c r="G915" s="40"/>
      <c r="Q915" s="39"/>
      <c r="R915" s="39"/>
      <c r="S915" s="39"/>
      <c r="T915" s="39"/>
      <c r="U915" s="39"/>
      <c r="V915" s="39"/>
      <c r="W915" s="39"/>
    </row>
    <row r="916" spans="1:23">
      <c r="A916" s="39"/>
      <c r="B916" s="39"/>
      <c r="C916" s="39"/>
      <c r="D916" s="39"/>
      <c r="E916" s="39"/>
      <c r="F916" s="39"/>
      <c r="G916" s="39"/>
      <c r="Q916" s="40"/>
      <c r="R916" s="40"/>
      <c r="S916" s="40"/>
      <c r="T916" s="40"/>
      <c r="U916" s="40"/>
      <c r="V916" s="40"/>
      <c r="W916" s="40"/>
    </row>
    <row r="917" spans="1:23">
      <c r="A917" s="40"/>
      <c r="B917" s="40"/>
      <c r="C917" s="40"/>
      <c r="D917" s="40"/>
      <c r="E917" s="40"/>
      <c r="F917" s="40"/>
      <c r="G917" s="40"/>
      <c r="Q917" s="39"/>
      <c r="R917" s="39"/>
      <c r="S917" s="39"/>
      <c r="T917" s="39"/>
      <c r="U917" s="39"/>
      <c r="V917" s="39"/>
      <c r="W917" s="39"/>
    </row>
    <row r="918" spans="1:23">
      <c r="A918" s="39"/>
      <c r="B918" s="39"/>
      <c r="C918" s="39"/>
      <c r="D918" s="39"/>
      <c r="E918" s="39"/>
      <c r="F918" s="39"/>
      <c r="G918" s="39"/>
      <c r="Q918" s="40"/>
      <c r="R918" s="40"/>
      <c r="S918" s="40"/>
      <c r="T918" s="40"/>
      <c r="U918" s="40"/>
      <c r="V918" s="40"/>
      <c r="W918" s="40"/>
    </row>
    <row r="919" spans="1:23">
      <c r="A919" s="40"/>
      <c r="B919" s="40"/>
      <c r="C919" s="40"/>
      <c r="D919" s="40"/>
      <c r="E919" s="40"/>
      <c r="F919" s="40"/>
      <c r="G919" s="40"/>
      <c r="Q919" s="39"/>
      <c r="R919" s="39"/>
      <c r="S919" s="39"/>
      <c r="T919" s="39"/>
      <c r="U919" s="39"/>
      <c r="V919" s="39"/>
      <c r="W919" s="39"/>
    </row>
    <row r="920" spans="1:23">
      <c r="A920" s="39"/>
      <c r="B920" s="39"/>
      <c r="C920" s="39"/>
      <c r="D920" s="39"/>
      <c r="E920" s="39"/>
      <c r="F920" s="39"/>
      <c r="G920" s="39"/>
      <c r="Q920" s="40"/>
      <c r="R920" s="40"/>
      <c r="S920" s="40"/>
      <c r="T920" s="40"/>
      <c r="U920" s="40"/>
      <c r="V920" s="40"/>
      <c r="W920" s="40"/>
    </row>
    <row r="921" spans="1:23">
      <c r="A921" s="40"/>
      <c r="B921" s="40"/>
      <c r="C921" s="40"/>
      <c r="D921" s="40"/>
      <c r="E921" s="40"/>
      <c r="F921" s="40"/>
      <c r="G921" s="40"/>
      <c r="Q921" s="39"/>
      <c r="R921" s="39"/>
      <c r="S921" s="39"/>
      <c r="T921" s="39"/>
      <c r="U921" s="39"/>
      <c r="V921" s="39"/>
      <c r="W921" s="39"/>
    </row>
    <row r="922" spans="1:23">
      <c r="A922" s="39"/>
      <c r="B922" s="39"/>
      <c r="C922" s="39"/>
      <c r="D922" s="39"/>
      <c r="E922" s="39"/>
      <c r="F922" s="39"/>
      <c r="G922" s="39"/>
      <c r="Q922" s="40"/>
      <c r="R922" s="40"/>
      <c r="S922" s="40"/>
      <c r="T922" s="40"/>
      <c r="U922" s="40"/>
      <c r="V922" s="40"/>
      <c r="W922" s="40"/>
    </row>
    <row r="923" spans="1:23">
      <c r="A923" s="40"/>
      <c r="B923" s="40"/>
      <c r="C923" s="40"/>
      <c r="D923" s="40"/>
      <c r="E923" s="40"/>
      <c r="F923" s="40"/>
      <c r="G923" s="40"/>
      <c r="Q923" s="39"/>
      <c r="R923" s="39"/>
      <c r="S923" s="39"/>
      <c r="T923" s="39"/>
      <c r="U923" s="39"/>
      <c r="V923" s="39"/>
      <c r="W923" s="39"/>
    </row>
    <row r="924" spans="1:23">
      <c r="A924" s="39"/>
      <c r="B924" s="39"/>
      <c r="C924" s="39"/>
      <c r="D924" s="39"/>
      <c r="E924" s="39"/>
      <c r="F924" s="39"/>
      <c r="G924" s="39"/>
      <c r="Q924" s="40"/>
      <c r="R924" s="40"/>
      <c r="S924" s="40"/>
      <c r="T924" s="40"/>
      <c r="U924" s="40"/>
      <c r="V924" s="40"/>
      <c r="W924" s="40"/>
    </row>
    <row r="925" spans="1:23">
      <c r="A925" s="40"/>
      <c r="B925" s="40"/>
      <c r="C925" s="40"/>
      <c r="D925" s="40"/>
      <c r="E925" s="40"/>
      <c r="F925" s="40"/>
      <c r="G925" s="40"/>
      <c r="Q925" s="39"/>
      <c r="R925" s="39"/>
      <c r="S925" s="39"/>
      <c r="T925" s="39"/>
      <c r="U925" s="39"/>
      <c r="V925" s="39"/>
      <c r="W925" s="39"/>
    </row>
    <row r="926" spans="1:23">
      <c r="A926" s="39"/>
      <c r="B926" s="39"/>
      <c r="C926" s="39"/>
      <c r="D926" s="39"/>
      <c r="E926" s="39"/>
      <c r="F926" s="39"/>
      <c r="G926" s="39"/>
      <c r="Q926" s="40"/>
      <c r="R926" s="40"/>
      <c r="S926" s="40"/>
      <c r="T926" s="40"/>
      <c r="U926" s="40"/>
      <c r="V926" s="40"/>
      <c r="W926" s="40"/>
    </row>
    <row r="927" spans="1:23">
      <c r="A927" s="40"/>
      <c r="B927" s="40"/>
      <c r="C927" s="40"/>
      <c r="D927" s="40"/>
      <c r="E927" s="40"/>
      <c r="F927" s="40"/>
      <c r="G927" s="40"/>
      <c r="Q927" s="39"/>
      <c r="R927" s="39"/>
      <c r="S927" s="39"/>
      <c r="T927" s="39"/>
      <c r="U927" s="39"/>
      <c r="V927" s="39"/>
      <c r="W927" s="39"/>
    </row>
    <row r="928" spans="1:23">
      <c r="A928" s="39"/>
      <c r="B928" s="39"/>
      <c r="C928" s="39"/>
      <c r="D928" s="39"/>
      <c r="E928" s="39"/>
      <c r="F928" s="39"/>
      <c r="G928" s="39"/>
      <c r="Q928" s="40"/>
      <c r="R928" s="40"/>
      <c r="S928" s="40"/>
      <c r="T928" s="40"/>
      <c r="U928" s="40"/>
      <c r="V928" s="40"/>
      <c r="W928" s="40"/>
    </row>
    <row r="929" spans="1:23">
      <c r="A929" s="40"/>
      <c r="B929" s="40"/>
      <c r="C929" s="40"/>
      <c r="D929" s="40"/>
      <c r="E929" s="40"/>
      <c r="F929" s="40"/>
      <c r="G929" s="40"/>
      <c r="Q929" s="39"/>
      <c r="R929" s="39"/>
      <c r="S929" s="39"/>
      <c r="T929" s="39"/>
      <c r="U929" s="39"/>
      <c r="V929" s="39"/>
      <c r="W929" s="39"/>
    </row>
    <row r="930" spans="1:23">
      <c r="A930" s="39"/>
      <c r="B930" s="39"/>
      <c r="C930" s="39"/>
      <c r="D930" s="39"/>
      <c r="E930" s="39"/>
      <c r="F930" s="39"/>
      <c r="G930" s="39"/>
      <c r="Q930" s="40"/>
      <c r="R930" s="40"/>
      <c r="S930" s="40"/>
      <c r="T930" s="40"/>
      <c r="U930" s="40"/>
      <c r="V930" s="40"/>
      <c r="W930" s="40"/>
    </row>
    <row r="931" spans="1:23">
      <c r="A931" s="40"/>
      <c r="B931" s="40"/>
      <c r="C931" s="40"/>
      <c r="D931" s="40"/>
      <c r="E931" s="40"/>
      <c r="F931" s="40"/>
      <c r="G931" s="40"/>
      <c r="Q931" s="39"/>
      <c r="R931" s="39"/>
      <c r="S931" s="39"/>
      <c r="T931" s="39"/>
      <c r="U931" s="39"/>
      <c r="V931" s="39"/>
      <c r="W931" s="39"/>
    </row>
    <row r="932" spans="1:23">
      <c r="A932" s="39"/>
      <c r="B932" s="39"/>
      <c r="C932" s="39"/>
      <c r="D932" s="39"/>
      <c r="E932" s="39"/>
      <c r="F932" s="39"/>
      <c r="G932" s="39"/>
      <c r="Q932" s="40"/>
      <c r="R932" s="40"/>
      <c r="S932" s="40"/>
      <c r="T932" s="40"/>
      <c r="U932" s="40"/>
      <c r="V932" s="40"/>
      <c r="W932" s="40"/>
    </row>
    <row r="933" spans="1:23">
      <c r="A933" s="40"/>
      <c r="B933" s="40"/>
      <c r="C933" s="40"/>
      <c r="D933" s="40"/>
      <c r="E933" s="40"/>
      <c r="F933" s="40"/>
      <c r="G933" s="40"/>
      <c r="Q933" s="39"/>
      <c r="R933" s="39"/>
      <c r="S933" s="39"/>
      <c r="T933" s="39"/>
      <c r="U933" s="39"/>
      <c r="V933" s="39"/>
      <c r="W933" s="39"/>
    </row>
    <row r="934" spans="1:23">
      <c r="A934" s="39"/>
      <c r="B934" s="39"/>
      <c r="C934" s="39"/>
      <c r="D934" s="39"/>
      <c r="E934" s="39"/>
      <c r="F934" s="39"/>
      <c r="G934" s="39"/>
      <c r="Q934" s="40"/>
      <c r="R934" s="40"/>
      <c r="S934" s="40"/>
      <c r="T934" s="40"/>
      <c r="U934" s="40"/>
      <c r="V934" s="40"/>
      <c r="W934" s="40"/>
    </row>
    <row r="935" spans="1:23">
      <c r="A935" s="40"/>
      <c r="B935" s="40"/>
      <c r="C935" s="40"/>
      <c r="D935" s="40"/>
      <c r="E935" s="40"/>
      <c r="F935" s="40"/>
      <c r="G935" s="40"/>
      <c r="Q935" s="39"/>
      <c r="R935" s="39"/>
      <c r="S935" s="39"/>
      <c r="T935" s="39"/>
      <c r="U935" s="39"/>
      <c r="V935" s="39"/>
      <c r="W935" s="39"/>
    </row>
    <row r="936" spans="1:23">
      <c r="A936" s="39"/>
      <c r="B936" s="39"/>
      <c r="C936" s="39"/>
      <c r="D936" s="39"/>
      <c r="E936" s="39"/>
      <c r="F936" s="39"/>
      <c r="G936" s="39"/>
      <c r="Q936" s="40"/>
      <c r="R936" s="40"/>
      <c r="S936" s="40"/>
      <c r="T936" s="40"/>
      <c r="U936" s="40"/>
      <c r="V936" s="40"/>
      <c r="W936" s="40"/>
    </row>
    <row r="937" spans="1:23">
      <c r="A937" s="40"/>
      <c r="B937" s="40"/>
      <c r="C937" s="40"/>
      <c r="D937" s="40"/>
      <c r="E937" s="40"/>
      <c r="F937" s="40"/>
      <c r="G937" s="40"/>
      <c r="Q937" s="39"/>
      <c r="R937" s="39"/>
      <c r="S937" s="39"/>
      <c r="T937" s="39"/>
      <c r="U937" s="39"/>
      <c r="V937" s="39"/>
      <c r="W937" s="39"/>
    </row>
    <row r="938" spans="1:23">
      <c r="A938" s="39"/>
      <c r="B938" s="39"/>
      <c r="C938" s="39"/>
      <c r="D938" s="39"/>
      <c r="E938" s="39"/>
      <c r="F938" s="39"/>
      <c r="G938" s="39"/>
      <c r="Q938" s="40"/>
      <c r="R938" s="40"/>
      <c r="S938" s="40"/>
      <c r="T938" s="40"/>
      <c r="U938" s="40"/>
      <c r="V938" s="40"/>
      <c r="W938" s="40"/>
    </row>
    <row r="939" spans="1:23">
      <c r="A939" s="40"/>
      <c r="B939" s="40"/>
      <c r="C939" s="40"/>
      <c r="D939" s="40"/>
      <c r="E939" s="40"/>
      <c r="F939" s="40"/>
      <c r="G939" s="40"/>
      <c r="Q939" s="39"/>
      <c r="R939" s="39"/>
      <c r="S939" s="39"/>
      <c r="T939" s="39"/>
      <c r="U939" s="39"/>
      <c r="V939" s="39"/>
      <c r="W939" s="39"/>
    </row>
    <row r="940" spans="1:23">
      <c r="A940" s="39"/>
      <c r="B940" s="39"/>
      <c r="C940" s="39"/>
      <c r="D940" s="39"/>
      <c r="E940" s="39"/>
      <c r="F940" s="39"/>
      <c r="G940" s="39"/>
      <c r="Q940" s="40"/>
      <c r="R940" s="40"/>
      <c r="S940" s="40"/>
      <c r="T940" s="40"/>
      <c r="U940" s="40"/>
      <c r="V940" s="40"/>
      <c r="W940" s="40"/>
    </row>
    <row r="941" spans="1:23">
      <c r="A941" s="40"/>
      <c r="B941" s="40"/>
      <c r="C941" s="40"/>
      <c r="D941" s="40"/>
      <c r="E941" s="40"/>
      <c r="F941" s="40"/>
      <c r="G941" s="40"/>
      <c r="Q941" s="39"/>
      <c r="R941" s="39"/>
      <c r="S941" s="39"/>
      <c r="T941" s="39"/>
      <c r="U941" s="39"/>
      <c r="V941" s="39"/>
      <c r="W941" s="39"/>
    </row>
    <row r="942" spans="1:23">
      <c r="A942" s="39"/>
      <c r="B942" s="39"/>
      <c r="C942" s="39"/>
      <c r="D942" s="39"/>
      <c r="E942" s="39"/>
      <c r="F942" s="39"/>
      <c r="G942" s="39"/>
      <c r="Q942" s="40"/>
      <c r="R942" s="40"/>
      <c r="S942" s="40"/>
      <c r="T942" s="40"/>
      <c r="U942" s="40"/>
      <c r="V942" s="40"/>
      <c r="W942" s="40"/>
    </row>
    <row r="943" spans="1:23">
      <c r="A943" s="40"/>
      <c r="B943" s="40"/>
      <c r="C943" s="40"/>
      <c r="D943" s="40"/>
      <c r="E943" s="40"/>
      <c r="F943" s="40"/>
      <c r="G943" s="40"/>
      <c r="Q943" s="39"/>
      <c r="R943" s="39"/>
      <c r="S943" s="39"/>
      <c r="T943" s="39"/>
      <c r="U943" s="39"/>
      <c r="V943" s="39"/>
      <c r="W943" s="39"/>
    </row>
    <row r="944" spans="1:23">
      <c r="A944" s="39"/>
      <c r="B944" s="39"/>
      <c r="C944" s="39"/>
      <c r="D944" s="39"/>
      <c r="E944" s="39"/>
      <c r="F944" s="39"/>
      <c r="G944" s="39"/>
      <c r="Q944" s="40"/>
      <c r="R944" s="40"/>
      <c r="S944" s="40"/>
      <c r="T944" s="40"/>
      <c r="U944" s="40"/>
      <c r="V944" s="40"/>
      <c r="W944" s="40"/>
    </row>
    <row r="945" spans="1:23">
      <c r="A945" s="40"/>
      <c r="B945" s="40"/>
      <c r="C945" s="40"/>
      <c r="D945" s="40"/>
      <c r="E945" s="40"/>
      <c r="F945" s="40"/>
      <c r="G945" s="40"/>
      <c r="Q945" s="39"/>
      <c r="R945" s="39"/>
      <c r="S945" s="39"/>
      <c r="T945" s="39"/>
      <c r="U945" s="39"/>
      <c r="V945" s="39"/>
      <c r="W945" s="39"/>
    </row>
    <row r="946" spans="1:23">
      <c r="A946" s="39"/>
      <c r="B946" s="39"/>
      <c r="C946" s="39"/>
      <c r="D946" s="39"/>
      <c r="E946" s="39"/>
      <c r="F946" s="39"/>
      <c r="G946" s="39"/>
      <c r="Q946" s="40"/>
      <c r="R946" s="40"/>
      <c r="S946" s="40"/>
      <c r="T946" s="40"/>
      <c r="U946" s="40"/>
      <c r="V946" s="40"/>
      <c r="W946" s="40"/>
    </row>
    <row r="947" spans="1:23">
      <c r="A947" s="40"/>
      <c r="B947" s="40"/>
      <c r="C947" s="40"/>
      <c r="D947" s="40"/>
      <c r="E947" s="40"/>
      <c r="F947" s="40"/>
      <c r="G947" s="40"/>
      <c r="Q947" s="39"/>
      <c r="R947" s="39"/>
      <c r="S947" s="39"/>
      <c r="T947" s="39"/>
      <c r="U947" s="39"/>
      <c r="V947" s="39"/>
      <c r="W947" s="39"/>
    </row>
    <row r="948" spans="1:23">
      <c r="A948" s="39"/>
      <c r="B948" s="39"/>
      <c r="C948" s="39"/>
      <c r="D948" s="39"/>
      <c r="E948" s="39"/>
      <c r="F948" s="39"/>
      <c r="G948" s="39"/>
      <c r="Q948" s="40"/>
      <c r="R948" s="40"/>
      <c r="S948" s="40"/>
      <c r="T948" s="40"/>
      <c r="U948" s="40"/>
      <c r="V948" s="40"/>
      <c r="W948" s="40"/>
    </row>
    <row r="949" spans="1:23">
      <c r="A949" s="40"/>
      <c r="B949" s="40"/>
      <c r="C949" s="40"/>
      <c r="D949" s="40"/>
      <c r="E949" s="40"/>
      <c r="F949" s="40"/>
      <c r="G949" s="40"/>
      <c r="Q949" s="39"/>
      <c r="R949" s="39"/>
      <c r="S949" s="39"/>
      <c r="T949" s="39"/>
      <c r="U949" s="39"/>
      <c r="V949" s="39"/>
      <c r="W949" s="39"/>
    </row>
    <row r="950" spans="1:23">
      <c r="A950" s="39"/>
      <c r="B950" s="39"/>
      <c r="C950" s="39"/>
      <c r="D950" s="39"/>
      <c r="E950" s="39"/>
      <c r="F950" s="39"/>
      <c r="G950" s="39"/>
      <c r="Q950" s="40"/>
      <c r="R950" s="40"/>
      <c r="S950" s="40"/>
      <c r="T950" s="40"/>
      <c r="U950" s="40"/>
      <c r="V950" s="40"/>
      <c r="W950" s="40"/>
    </row>
    <row r="951" spans="1:23">
      <c r="A951" s="40"/>
      <c r="B951" s="40"/>
      <c r="C951" s="40"/>
      <c r="D951" s="40"/>
      <c r="E951" s="40"/>
      <c r="F951" s="40"/>
      <c r="G951" s="40"/>
      <c r="Q951" s="39"/>
      <c r="R951" s="39"/>
      <c r="S951" s="39"/>
      <c r="T951" s="39"/>
      <c r="U951" s="39"/>
      <c r="V951" s="39"/>
      <c r="W951" s="39"/>
    </row>
    <row r="952" spans="1:23">
      <c r="A952" s="39"/>
      <c r="B952" s="39"/>
      <c r="C952" s="39"/>
      <c r="D952" s="39"/>
      <c r="E952" s="39"/>
      <c r="F952" s="39"/>
      <c r="G952" s="39"/>
      <c r="Q952" s="40"/>
      <c r="R952" s="40"/>
      <c r="S952" s="40"/>
      <c r="T952" s="40"/>
      <c r="U952" s="40"/>
      <c r="V952" s="40"/>
      <c r="W952" s="40"/>
    </row>
    <row r="953" spans="1:23">
      <c r="A953" s="40"/>
      <c r="B953" s="40"/>
      <c r="C953" s="40"/>
      <c r="D953" s="40"/>
      <c r="E953" s="40"/>
      <c r="F953" s="40"/>
      <c r="G953" s="40"/>
      <c r="Q953" s="39"/>
      <c r="R953" s="39"/>
      <c r="S953" s="39"/>
      <c r="T953" s="39"/>
      <c r="U953" s="39"/>
      <c r="V953" s="39"/>
      <c r="W953" s="39"/>
    </row>
    <row r="954" spans="1:23">
      <c r="A954" s="39"/>
      <c r="B954" s="39"/>
      <c r="C954" s="39"/>
      <c r="D954" s="39"/>
      <c r="E954" s="39"/>
      <c r="F954" s="39"/>
      <c r="G954" s="39"/>
      <c r="Q954" s="40"/>
      <c r="R954" s="40"/>
      <c r="S954" s="40"/>
      <c r="T954" s="40"/>
      <c r="U954" s="40"/>
      <c r="V954" s="40"/>
      <c r="W954" s="40"/>
    </row>
    <row r="955" spans="1:23">
      <c r="A955" s="40"/>
      <c r="B955" s="40"/>
      <c r="C955" s="40"/>
      <c r="D955" s="40"/>
      <c r="E955" s="40"/>
      <c r="F955" s="40"/>
      <c r="G955" s="40"/>
      <c r="Q955" s="39"/>
      <c r="R955" s="39"/>
      <c r="S955" s="39"/>
      <c r="T955" s="39"/>
      <c r="U955" s="39"/>
      <c r="V955" s="39"/>
      <c r="W955" s="39"/>
    </row>
    <row r="956" spans="1:23">
      <c r="A956" s="39"/>
      <c r="B956" s="39"/>
      <c r="C956" s="39"/>
      <c r="D956" s="39"/>
      <c r="E956" s="39"/>
      <c r="F956" s="39"/>
      <c r="G956" s="39"/>
      <c r="Q956" s="40"/>
      <c r="R956" s="40"/>
      <c r="S956" s="40"/>
      <c r="T956" s="40"/>
      <c r="U956" s="40"/>
      <c r="V956" s="40"/>
      <c r="W956" s="40"/>
    </row>
    <row r="957" spans="1:23">
      <c r="A957" s="40"/>
      <c r="B957" s="40"/>
      <c r="C957" s="40"/>
      <c r="D957" s="40"/>
      <c r="E957" s="40"/>
      <c r="F957" s="40"/>
      <c r="G957" s="40"/>
      <c r="Q957" s="39"/>
      <c r="R957" s="39"/>
      <c r="S957" s="39"/>
      <c r="T957" s="39"/>
      <c r="U957" s="39"/>
      <c r="V957" s="39"/>
      <c r="W957" s="39"/>
    </row>
    <row r="958" spans="1:23">
      <c r="A958" s="39"/>
      <c r="B958" s="39"/>
      <c r="C958" s="39"/>
      <c r="D958" s="39"/>
      <c r="E958" s="39"/>
      <c r="F958" s="39"/>
      <c r="G958" s="39"/>
      <c r="Q958" s="40"/>
      <c r="R958" s="40"/>
      <c r="S958" s="40"/>
      <c r="T958" s="40"/>
      <c r="U958" s="40"/>
      <c r="V958" s="40"/>
      <c r="W958" s="40"/>
    </row>
    <row r="959" spans="1:23">
      <c r="A959" s="40"/>
      <c r="B959" s="40"/>
      <c r="C959" s="40"/>
      <c r="D959" s="40"/>
      <c r="E959" s="40"/>
      <c r="F959" s="40"/>
      <c r="G959" s="40"/>
      <c r="Q959" s="39"/>
      <c r="R959" s="39"/>
      <c r="S959" s="39"/>
      <c r="T959" s="39"/>
      <c r="U959" s="39"/>
      <c r="V959" s="39"/>
      <c r="W959" s="39"/>
    </row>
    <row r="960" spans="1:23">
      <c r="A960" s="39"/>
      <c r="B960" s="39"/>
      <c r="C960" s="39"/>
      <c r="D960" s="39"/>
      <c r="E960" s="39"/>
      <c r="F960" s="39"/>
      <c r="G960" s="39"/>
      <c r="Q960" s="40"/>
      <c r="R960" s="40"/>
      <c r="S960" s="40"/>
      <c r="T960" s="40"/>
      <c r="U960" s="40"/>
      <c r="V960" s="40"/>
      <c r="W960" s="40"/>
    </row>
    <row r="961" spans="1:23">
      <c r="A961" s="40"/>
      <c r="B961" s="40"/>
      <c r="C961" s="40"/>
      <c r="D961" s="40"/>
      <c r="E961" s="40"/>
      <c r="F961" s="40"/>
      <c r="G961" s="40"/>
      <c r="Q961" s="39"/>
      <c r="R961" s="39"/>
      <c r="S961" s="39"/>
      <c r="T961" s="39"/>
      <c r="U961" s="39"/>
      <c r="V961" s="39"/>
      <c r="W961" s="39"/>
    </row>
    <row r="962" spans="1:23">
      <c r="A962" s="39"/>
      <c r="B962" s="39"/>
      <c r="C962" s="39"/>
      <c r="D962" s="39"/>
      <c r="E962" s="39"/>
      <c r="F962" s="39"/>
      <c r="G962" s="39"/>
      <c r="Q962" s="40"/>
      <c r="R962" s="40"/>
      <c r="S962" s="40"/>
      <c r="T962" s="40"/>
      <c r="U962" s="40"/>
      <c r="V962" s="40"/>
      <c r="W962" s="40"/>
    </row>
    <row r="963" spans="1:23">
      <c r="A963" s="40"/>
      <c r="B963" s="40"/>
      <c r="C963" s="40"/>
      <c r="D963" s="40"/>
      <c r="E963" s="40"/>
      <c r="F963" s="40"/>
      <c r="G963" s="40"/>
      <c r="Q963" s="39"/>
      <c r="R963" s="39"/>
      <c r="S963" s="39"/>
      <c r="T963" s="39"/>
      <c r="U963" s="39"/>
      <c r="V963" s="39"/>
      <c r="W963" s="39"/>
    </row>
    <row r="964" spans="1:23">
      <c r="A964" s="39"/>
      <c r="B964" s="39"/>
      <c r="C964" s="39"/>
      <c r="D964" s="39"/>
      <c r="E964" s="39"/>
      <c r="F964" s="39"/>
      <c r="G964" s="39"/>
      <c r="Q964" s="40"/>
      <c r="R964" s="40"/>
      <c r="S964" s="40"/>
      <c r="T964" s="40"/>
      <c r="U964" s="40"/>
      <c r="V964" s="40"/>
      <c r="W964" s="40"/>
    </row>
    <row r="965" spans="1:23">
      <c r="A965" s="40"/>
      <c r="B965" s="40"/>
      <c r="C965" s="40"/>
      <c r="D965" s="40"/>
      <c r="E965" s="40"/>
      <c r="F965" s="40"/>
      <c r="G965" s="40"/>
      <c r="Q965" s="39"/>
      <c r="R965" s="39"/>
      <c r="S965" s="39"/>
      <c r="T965" s="39"/>
      <c r="U965" s="39"/>
      <c r="V965" s="39"/>
      <c r="W965" s="39"/>
    </row>
    <row r="966" spans="1:23">
      <c r="A966" s="39"/>
      <c r="B966" s="39"/>
      <c r="C966" s="39"/>
      <c r="D966" s="39"/>
      <c r="E966" s="39"/>
      <c r="F966" s="39"/>
      <c r="G966" s="39"/>
      <c r="Q966" s="40"/>
      <c r="R966" s="40"/>
      <c r="S966" s="40"/>
      <c r="T966" s="40"/>
      <c r="U966" s="40"/>
      <c r="V966" s="40"/>
      <c r="W966" s="40"/>
    </row>
    <row r="967" spans="1:23">
      <c r="A967" s="40"/>
      <c r="B967" s="40"/>
      <c r="C967" s="40"/>
      <c r="D967" s="40"/>
      <c r="E967" s="40"/>
      <c r="F967" s="40"/>
      <c r="G967" s="40"/>
      <c r="Q967" s="39"/>
      <c r="R967" s="39"/>
      <c r="S967" s="39"/>
      <c r="T967" s="39"/>
      <c r="U967" s="39"/>
      <c r="V967" s="39"/>
      <c r="W967" s="39"/>
    </row>
    <row r="968" spans="1:23">
      <c r="A968" s="39"/>
      <c r="B968" s="39"/>
      <c r="C968" s="39"/>
      <c r="D968" s="39"/>
      <c r="E968" s="39"/>
      <c r="F968" s="39"/>
      <c r="G968" s="39"/>
      <c r="Q968" s="40"/>
      <c r="R968" s="40"/>
      <c r="S968" s="40"/>
      <c r="T968" s="40"/>
      <c r="U968" s="40"/>
      <c r="V968" s="40"/>
      <c r="W968" s="40"/>
    </row>
    <row r="969" spans="1:23">
      <c r="A969" s="40"/>
      <c r="B969" s="40"/>
      <c r="C969" s="40"/>
      <c r="D969" s="40"/>
      <c r="E969" s="40"/>
      <c r="F969" s="40"/>
      <c r="G969" s="40"/>
      <c r="Q969" s="39"/>
      <c r="R969" s="39"/>
      <c r="S969" s="39"/>
      <c r="T969" s="39"/>
      <c r="U969" s="39"/>
      <c r="V969" s="39"/>
      <c r="W969" s="39"/>
    </row>
    <row r="970" spans="1:23">
      <c r="A970" s="39"/>
      <c r="B970" s="39"/>
      <c r="C970" s="39"/>
      <c r="D970" s="39"/>
      <c r="E970" s="39"/>
      <c r="F970" s="39"/>
      <c r="G970" s="39"/>
      <c r="Q970" s="40"/>
      <c r="R970" s="40"/>
      <c r="S970" s="40"/>
      <c r="T970" s="40"/>
      <c r="U970" s="40"/>
      <c r="V970" s="40"/>
      <c r="W970" s="40"/>
    </row>
    <row r="971" spans="1:23">
      <c r="A971" s="40"/>
      <c r="B971" s="40"/>
      <c r="C971" s="40"/>
      <c r="D971" s="40"/>
      <c r="E971" s="40"/>
      <c r="F971" s="40"/>
      <c r="G971" s="40"/>
      <c r="Q971" s="39"/>
      <c r="R971" s="39"/>
      <c r="S971" s="39"/>
      <c r="T971" s="39"/>
      <c r="U971" s="39"/>
      <c r="V971" s="39"/>
      <c r="W971" s="39"/>
    </row>
    <row r="972" spans="1:23">
      <c r="A972" s="39"/>
      <c r="B972" s="39"/>
      <c r="C972" s="39"/>
      <c r="D972" s="39"/>
      <c r="E972" s="39"/>
      <c r="F972" s="39"/>
      <c r="G972" s="39"/>
      <c r="Q972" s="40"/>
      <c r="R972" s="40"/>
      <c r="S972" s="40"/>
      <c r="T972" s="40"/>
      <c r="U972" s="40"/>
      <c r="V972" s="40"/>
      <c r="W972" s="40"/>
    </row>
    <row r="973" spans="1:23">
      <c r="A973" s="40"/>
      <c r="B973" s="40"/>
      <c r="C973" s="40"/>
      <c r="D973" s="40"/>
      <c r="E973" s="40"/>
      <c r="F973" s="40"/>
      <c r="G973" s="40"/>
      <c r="Q973" s="39"/>
      <c r="R973" s="39"/>
      <c r="S973" s="39"/>
      <c r="T973" s="39"/>
      <c r="U973" s="39"/>
      <c r="V973" s="39"/>
      <c r="W973" s="39"/>
    </row>
    <row r="974" spans="1:23">
      <c r="A974" s="39"/>
      <c r="B974" s="39"/>
      <c r="C974" s="39"/>
      <c r="D974" s="39"/>
      <c r="E974" s="39"/>
      <c r="F974" s="39"/>
      <c r="G974" s="39"/>
      <c r="Q974" s="40"/>
      <c r="R974" s="40"/>
      <c r="S974" s="40"/>
      <c r="T974" s="40"/>
      <c r="U974" s="40"/>
      <c r="V974" s="40"/>
      <c r="W974" s="40"/>
    </row>
    <row r="975" spans="1:23">
      <c r="A975" s="40"/>
      <c r="B975" s="40"/>
      <c r="C975" s="40"/>
      <c r="D975" s="40"/>
      <c r="E975" s="40"/>
      <c r="F975" s="40"/>
      <c r="G975" s="40"/>
      <c r="Q975" s="39"/>
      <c r="R975" s="39"/>
      <c r="S975" s="39"/>
      <c r="T975" s="39"/>
      <c r="U975" s="39"/>
      <c r="V975" s="39"/>
      <c r="W975" s="39"/>
    </row>
    <row r="976" spans="1:23">
      <c r="A976" s="39"/>
      <c r="B976" s="39"/>
      <c r="C976" s="39"/>
      <c r="D976" s="39"/>
      <c r="E976" s="39"/>
      <c r="F976" s="39"/>
      <c r="G976" s="39"/>
      <c r="Q976" s="40"/>
      <c r="R976" s="40"/>
      <c r="S976" s="40"/>
      <c r="T976" s="40"/>
      <c r="U976" s="40"/>
      <c r="V976" s="40"/>
      <c r="W976" s="40"/>
    </row>
    <row r="977" spans="1:23">
      <c r="A977" s="40"/>
      <c r="B977" s="40"/>
      <c r="C977" s="40"/>
      <c r="D977" s="40"/>
      <c r="E977" s="40"/>
      <c r="F977" s="40"/>
      <c r="G977" s="40"/>
      <c r="Q977" s="39"/>
      <c r="R977" s="39"/>
      <c r="S977" s="39"/>
      <c r="T977" s="39"/>
      <c r="U977" s="39"/>
      <c r="V977" s="39"/>
      <c r="W977" s="39"/>
    </row>
    <row r="978" spans="1:23">
      <c r="A978" s="39"/>
      <c r="B978" s="39"/>
      <c r="C978" s="39"/>
      <c r="D978" s="39"/>
      <c r="E978" s="39"/>
      <c r="F978" s="39"/>
      <c r="G978" s="39"/>
      <c r="Q978" s="40"/>
      <c r="R978" s="40"/>
      <c r="S978" s="40"/>
      <c r="T978" s="40"/>
      <c r="U978" s="40"/>
      <c r="V978" s="40"/>
      <c r="W978" s="40"/>
    </row>
    <row r="979" spans="1:23">
      <c r="A979" s="40"/>
      <c r="B979" s="40"/>
      <c r="C979" s="40"/>
      <c r="D979" s="40"/>
      <c r="E979" s="40"/>
      <c r="F979" s="40"/>
      <c r="G979" s="40"/>
      <c r="Q979" s="39"/>
      <c r="R979" s="39"/>
      <c r="S979" s="39"/>
      <c r="T979" s="39"/>
      <c r="U979" s="39"/>
      <c r="V979" s="39"/>
      <c r="W979" s="39"/>
    </row>
    <row r="980" spans="1:23">
      <c r="A980" s="39"/>
      <c r="B980" s="39"/>
      <c r="C980" s="39"/>
      <c r="D980" s="39"/>
      <c r="E980" s="39"/>
      <c r="F980" s="39"/>
      <c r="G980" s="39"/>
      <c r="Q980" s="40"/>
      <c r="R980" s="40"/>
      <c r="S980" s="40"/>
      <c r="T980" s="40"/>
      <c r="U980" s="40"/>
      <c r="V980" s="40"/>
      <c r="W980" s="40"/>
    </row>
    <row r="981" spans="1:23">
      <c r="A981" s="40"/>
      <c r="B981" s="40"/>
      <c r="C981" s="40"/>
      <c r="D981" s="40"/>
      <c r="E981" s="40"/>
      <c r="F981" s="40"/>
      <c r="G981" s="40"/>
      <c r="Q981" s="39"/>
      <c r="R981" s="39"/>
      <c r="S981" s="39"/>
      <c r="T981" s="39"/>
      <c r="U981" s="39"/>
      <c r="V981" s="39"/>
      <c r="W981" s="39"/>
    </row>
    <row r="982" spans="1:23">
      <c r="A982" s="39"/>
      <c r="B982" s="39"/>
      <c r="C982" s="39"/>
      <c r="D982" s="39"/>
      <c r="E982" s="39"/>
      <c r="F982" s="39"/>
      <c r="G982" s="39"/>
      <c r="Q982" s="40"/>
      <c r="R982" s="40"/>
      <c r="S982" s="40"/>
      <c r="T982" s="40"/>
      <c r="U982" s="40"/>
      <c r="V982" s="40"/>
      <c r="W982" s="40"/>
    </row>
    <row r="983" spans="1:23">
      <c r="A983" s="40"/>
      <c r="B983" s="40"/>
      <c r="C983" s="40"/>
      <c r="D983" s="40"/>
      <c r="E983" s="40"/>
      <c r="F983" s="40"/>
      <c r="G983" s="40"/>
      <c r="Q983" s="39"/>
      <c r="R983" s="39"/>
      <c r="S983" s="39"/>
      <c r="T983" s="39"/>
      <c r="U983" s="39"/>
      <c r="V983" s="39"/>
      <c r="W983" s="39"/>
    </row>
    <row r="984" spans="1:23">
      <c r="A984" s="39"/>
      <c r="B984" s="39"/>
      <c r="C984" s="39"/>
      <c r="D984" s="39"/>
      <c r="E984" s="39"/>
      <c r="F984" s="39"/>
      <c r="G984" s="39"/>
      <c r="Q984" s="40"/>
      <c r="R984" s="40"/>
      <c r="S984" s="40"/>
      <c r="T984" s="40"/>
      <c r="U984" s="40"/>
      <c r="V984" s="40"/>
      <c r="W984" s="40"/>
    </row>
    <row r="985" spans="1:23">
      <c r="A985" s="40"/>
      <c r="B985" s="40"/>
      <c r="C985" s="40"/>
      <c r="D985" s="40"/>
      <c r="E985" s="40"/>
      <c r="F985" s="40"/>
      <c r="G985" s="40"/>
      <c r="Q985" s="39"/>
      <c r="R985" s="39"/>
      <c r="S985" s="39"/>
      <c r="T985" s="39"/>
      <c r="U985" s="39"/>
      <c r="V985" s="39"/>
      <c r="W985" s="39"/>
    </row>
    <row r="986" spans="1:23">
      <c r="A986" s="39"/>
      <c r="B986" s="39"/>
      <c r="C986" s="39"/>
      <c r="D986" s="39"/>
      <c r="E986" s="39"/>
      <c r="F986" s="39"/>
      <c r="G986" s="39"/>
      <c r="Q986" s="40"/>
      <c r="R986" s="40"/>
      <c r="S986" s="40"/>
      <c r="T986" s="40"/>
      <c r="U986" s="40"/>
      <c r="V986" s="40"/>
      <c r="W986" s="40"/>
    </row>
    <row r="987" spans="1:23">
      <c r="A987" s="40"/>
      <c r="B987" s="40"/>
      <c r="C987" s="40"/>
      <c r="D987" s="40"/>
      <c r="E987" s="40"/>
      <c r="F987" s="40"/>
      <c r="G987" s="40"/>
      <c r="Q987" s="39"/>
      <c r="R987" s="39"/>
      <c r="S987" s="39"/>
      <c r="T987" s="39"/>
      <c r="U987" s="39"/>
      <c r="V987" s="39"/>
      <c r="W987" s="39"/>
    </row>
    <row r="988" spans="1:23">
      <c r="A988" s="39"/>
      <c r="B988" s="39"/>
      <c r="C988" s="39"/>
      <c r="D988" s="39"/>
      <c r="E988" s="39"/>
      <c r="F988" s="39"/>
      <c r="G988" s="39"/>
      <c r="Q988" s="40"/>
      <c r="R988" s="40"/>
      <c r="S988" s="40"/>
      <c r="T988" s="40"/>
      <c r="U988" s="40"/>
      <c r="V988" s="40"/>
      <c r="W988" s="40"/>
    </row>
    <row r="989" spans="1:23">
      <c r="A989" s="40"/>
      <c r="B989" s="40"/>
      <c r="C989" s="40"/>
      <c r="D989" s="40"/>
      <c r="E989" s="40"/>
      <c r="F989" s="40"/>
      <c r="G989" s="40"/>
      <c r="Q989" s="39"/>
      <c r="R989" s="39"/>
      <c r="S989" s="39"/>
      <c r="T989" s="39"/>
      <c r="U989" s="39"/>
      <c r="V989" s="39"/>
      <c r="W989" s="39"/>
    </row>
    <row r="990" spans="1:23">
      <c r="A990" s="39"/>
      <c r="B990" s="39"/>
      <c r="C990" s="39"/>
      <c r="D990" s="39"/>
      <c r="E990" s="39"/>
      <c r="F990" s="39"/>
      <c r="G990" s="39"/>
      <c r="Q990" s="40"/>
      <c r="R990" s="40"/>
      <c r="S990" s="40"/>
      <c r="T990" s="40"/>
      <c r="U990" s="40"/>
      <c r="V990" s="40"/>
      <c r="W990" s="40"/>
    </row>
    <row r="991" spans="1:23">
      <c r="A991" s="40"/>
      <c r="B991" s="40"/>
      <c r="C991" s="40"/>
      <c r="D991" s="40"/>
      <c r="E991" s="40"/>
      <c r="F991" s="40"/>
      <c r="G991" s="40"/>
      <c r="Q991" s="39"/>
      <c r="R991" s="39"/>
      <c r="S991" s="39"/>
      <c r="T991" s="39"/>
      <c r="U991" s="39"/>
      <c r="V991" s="39"/>
      <c r="W991" s="39"/>
    </row>
    <row r="992" spans="1:23">
      <c r="A992" s="39"/>
      <c r="B992" s="39"/>
      <c r="C992" s="39"/>
      <c r="D992" s="39"/>
      <c r="E992" s="39"/>
      <c r="F992" s="39"/>
      <c r="G992" s="39"/>
      <c r="Q992" s="40"/>
      <c r="R992" s="40"/>
      <c r="S992" s="40"/>
      <c r="T992" s="40"/>
      <c r="U992" s="40"/>
      <c r="V992" s="40"/>
      <c r="W992" s="40"/>
    </row>
    <row r="993" spans="1:23">
      <c r="A993" s="40"/>
      <c r="B993" s="40"/>
      <c r="C993" s="40"/>
      <c r="D993" s="40"/>
      <c r="E993" s="40"/>
      <c r="F993" s="40"/>
      <c r="G993" s="40"/>
      <c r="Q993" s="39"/>
      <c r="R993" s="39"/>
      <c r="S993" s="39"/>
      <c r="T993" s="39"/>
      <c r="U993" s="39"/>
      <c r="V993" s="39"/>
      <c r="W993" s="39"/>
    </row>
    <row r="994" spans="1:23">
      <c r="A994" s="39"/>
      <c r="B994" s="39"/>
      <c r="C994" s="39"/>
      <c r="D994" s="39"/>
      <c r="E994" s="39"/>
      <c r="F994" s="39"/>
      <c r="G994" s="39"/>
      <c r="Q994" s="40"/>
      <c r="R994" s="40"/>
      <c r="S994" s="40"/>
      <c r="T994" s="40"/>
      <c r="U994" s="40"/>
      <c r="V994" s="40"/>
      <c r="W994" s="40"/>
    </row>
    <row r="995" spans="1:23">
      <c r="A995" s="40"/>
      <c r="B995" s="40"/>
      <c r="C995" s="40"/>
      <c r="D995" s="40"/>
      <c r="E995" s="40"/>
      <c r="F995" s="40"/>
      <c r="G995" s="40"/>
      <c r="Q995" s="39"/>
      <c r="R995" s="39"/>
      <c r="S995" s="39"/>
      <c r="T995" s="39"/>
      <c r="U995" s="39"/>
      <c r="V995" s="39"/>
      <c r="W995" s="39"/>
    </row>
    <row r="996" spans="1:23">
      <c r="A996" s="39"/>
      <c r="B996" s="39"/>
      <c r="C996" s="39"/>
      <c r="D996" s="39"/>
      <c r="E996" s="39"/>
      <c r="F996" s="39"/>
      <c r="G996" s="39"/>
      <c r="Q996" s="40"/>
      <c r="R996" s="40"/>
      <c r="S996" s="40"/>
      <c r="T996" s="40"/>
      <c r="U996" s="40"/>
      <c r="V996" s="40"/>
      <c r="W996" s="40"/>
    </row>
    <row r="997" spans="1:23">
      <c r="A997" s="40"/>
      <c r="B997" s="40"/>
      <c r="C997" s="40"/>
      <c r="D997" s="40"/>
      <c r="E997" s="40"/>
      <c r="F997" s="40"/>
      <c r="G997" s="40"/>
      <c r="Q997" s="39"/>
      <c r="R997" s="39"/>
      <c r="S997" s="39"/>
      <c r="T997" s="39"/>
      <c r="U997" s="39"/>
      <c r="V997" s="39"/>
      <c r="W997" s="39"/>
    </row>
    <row r="998" spans="1:23">
      <c r="A998" s="39"/>
      <c r="B998" s="39"/>
      <c r="C998" s="39"/>
      <c r="D998" s="39"/>
      <c r="E998" s="39"/>
      <c r="F998" s="39"/>
      <c r="G998" s="39"/>
      <c r="Q998" s="40"/>
      <c r="R998" s="40"/>
      <c r="S998" s="40"/>
      <c r="T998" s="40"/>
      <c r="U998" s="40"/>
      <c r="V998" s="40"/>
      <c r="W998" s="40"/>
    </row>
    <row r="999" spans="1:23">
      <c r="A999" s="40"/>
      <c r="B999" s="40"/>
      <c r="C999" s="40"/>
      <c r="D999" s="40"/>
      <c r="E999" s="40"/>
      <c r="F999" s="40"/>
      <c r="G999" s="40"/>
      <c r="Q999" s="39"/>
      <c r="R999" s="39"/>
      <c r="S999" s="39"/>
      <c r="T999" s="39"/>
      <c r="U999" s="39"/>
      <c r="V999" s="39"/>
      <c r="W999" s="39"/>
    </row>
    <row r="1000" spans="1:23">
      <c r="A1000" s="39"/>
      <c r="B1000" s="39"/>
      <c r="C1000" s="39"/>
      <c r="D1000" s="39"/>
      <c r="E1000" s="39"/>
      <c r="F1000" s="39"/>
      <c r="G1000" s="39"/>
      <c r="Q1000" s="40"/>
      <c r="R1000" s="40"/>
      <c r="S1000" s="40"/>
      <c r="T1000" s="40"/>
      <c r="U1000" s="40"/>
      <c r="V1000" s="40"/>
      <c r="W1000" s="40"/>
    </row>
    <row r="1001" spans="1:23">
      <c r="A1001" s="40"/>
      <c r="B1001" s="40"/>
      <c r="C1001" s="40"/>
      <c r="D1001" s="40"/>
      <c r="E1001" s="40"/>
      <c r="F1001" s="40"/>
      <c r="G1001" s="40"/>
      <c r="Q1001" s="39"/>
      <c r="R1001" s="39"/>
      <c r="S1001" s="39"/>
      <c r="T1001" s="39"/>
      <c r="U1001" s="39"/>
      <c r="V1001" s="39"/>
      <c r="W1001" s="39"/>
    </row>
    <row r="1002" spans="1:23">
      <c r="A1002" s="39"/>
      <c r="B1002" s="39"/>
      <c r="C1002" s="39"/>
      <c r="D1002" s="39"/>
      <c r="E1002" s="39"/>
      <c r="F1002" s="39"/>
      <c r="G1002" s="39"/>
      <c r="Q1002" s="40"/>
      <c r="R1002" s="40"/>
      <c r="S1002" s="40"/>
      <c r="T1002" s="40"/>
      <c r="U1002" s="40"/>
      <c r="V1002" s="40"/>
      <c r="W1002" s="40"/>
    </row>
    <row r="1003" spans="1:23">
      <c r="A1003" s="40"/>
      <c r="B1003" s="40"/>
      <c r="C1003" s="40"/>
      <c r="D1003" s="40"/>
      <c r="E1003" s="40"/>
      <c r="F1003" s="40"/>
      <c r="G1003" s="40"/>
      <c r="Q1003" s="39"/>
      <c r="R1003" s="39"/>
      <c r="S1003" s="39"/>
      <c r="T1003" s="39"/>
      <c r="U1003" s="39"/>
      <c r="V1003" s="39"/>
      <c r="W1003" s="39"/>
    </row>
    <row r="1004" spans="1:23">
      <c r="A1004" s="39"/>
      <c r="B1004" s="39"/>
      <c r="C1004" s="39"/>
      <c r="D1004" s="39"/>
      <c r="E1004" s="39"/>
      <c r="F1004" s="39"/>
      <c r="G1004" s="39"/>
      <c r="Q1004" s="40"/>
      <c r="R1004" s="40"/>
      <c r="S1004" s="40"/>
      <c r="T1004" s="40"/>
      <c r="U1004" s="40"/>
      <c r="V1004" s="40"/>
      <c r="W1004" s="40"/>
    </row>
    <row r="1005" spans="1:23">
      <c r="A1005" s="40"/>
      <c r="B1005" s="40"/>
      <c r="C1005" s="40"/>
      <c r="D1005" s="40"/>
      <c r="E1005" s="40"/>
      <c r="F1005" s="40"/>
      <c r="G1005" s="40"/>
      <c r="Q1005" s="39"/>
      <c r="R1005" s="39"/>
      <c r="S1005" s="39"/>
      <c r="T1005" s="39"/>
      <c r="U1005" s="39"/>
      <c r="V1005" s="39"/>
      <c r="W1005" s="39"/>
    </row>
    <row r="1006" spans="1:23">
      <c r="A1006" s="39"/>
      <c r="B1006" s="39"/>
      <c r="C1006" s="39"/>
      <c r="D1006" s="39"/>
      <c r="E1006" s="39"/>
      <c r="F1006" s="39"/>
      <c r="G1006" s="39"/>
      <c r="Q1006" s="40"/>
      <c r="R1006" s="40"/>
      <c r="S1006" s="40"/>
      <c r="T1006" s="40"/>
      <c r="U1006" s="40"/>
      <c r="V1006" s="40"/>
      <c r="W1006" s="40"/>
    </row>
    <row r="1007" spans="1:23">
      <c r="A1007" s="40"/>
      <c r="B1007" s="40"/>
      <c r="C1007" s="40"/>
      <c r="D1007" s="40"/>
      <c r="E1007" s="40"/>
      <c r="F1007" s="40"/>
      <c r="G1007" s="40"/>
      <c r="Q1007" s="39"/>
      <c r="R1007" s="39"/>
      <c r="S1007" s="39"/>
      <c r="T1007" s="39"/>
      <c r="U1007" s="39"/>
      <c r="V1007" s="39"/>
      <c r="W1007" s="39"/>
    </row>
    <row r="1008" spans="1:23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9F0A-CD58-3D49-BF2A-5E4F465B170D}">
  <dimension ref="A1:AC1008"/>
  <sheetViews>
    <sheetView workbookViewId="0"/>
  </sheetViews>
  <sheetFormatPr defaultColWidth="10.85546875" defaultRowHeight="15"/>
  <cols>
    <col min="1" max="1" width="11.85546875" style="37" bestFit="1" customWidth="1"/>
    <col min="2" max="16384" width="10.85546875" style="37"/>
  </cols>
  <sheetData>
    <row r="1" spans="1:16">
      <c r="A1" s="36" t="s">
        <v>119</v>
      </c>
      <c r="B1" s="36" t="s">
        <v>114</v>
      </c>
      <c r="G1" s="38" t="s">
        <v>125</v>
      </c>
    </row>
    <row r="3" spans="1:16">
      <c r="A3" s="38" t="s">
        <v>120</v>
      </c>
    </row>
    <row r="4" spans="1:16">
      <c r="A4" s="39" t="s">
        <v>86</v>
      </c>
      <c r="B4" s="39" t="s">
        <v>126</v>
      </c>
      <c r="C4" s="39" t="s">
        <v>127</v>
      </c>
      <c r="D4" s="39" t="s">
        <v>128</v>
      </c>
      <c r="E4" s="39"/>
      <c r="F4" s="39"/>
      <c r="G4" s="39"/>
      <c r="H4" s="39"/>
      <c r="I4" s="39"/>
      <c r="J4" s="39"/>
      <c r="K4" s="39"/>
      <c r="L4" s="39"/>
    </row>
    <row r="5" spans="1:16">
      <c r="A5" s="38" t="s">
        <v>121</v>
      </c>
    </row>
    <row r="6" spans="1:16">
      <c r="A6" s="41" t="s">
        <v>122</v>
      </c>
      <c r="B6" s="40" t="s">
        <v>123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6">
      <c r="A8" s="36" t="s">
        <v>86</v>
      </c>
      <c r="B8" s="36" t="s">
        <v>126</v>
      </c>
      <c r="C8" s="36" t="s">
        <v>127</v>
      </c>
      <c r="D8" s="36" t="s">
        <v>128</v>
      </c>
      <c r="E8" s="36" t="s">
        <v>114</v>
      </c>
      <c r="F8" s="36" t="s">
        <v>122</v>
      </c>
      <c r="G8" s="36" t="s">
        <v>123</v>
      </c>
      <c r="J8" s="38" t="s">
        <v>129</v>
      </c>
    </row>
    <row r="9" spans="1:16">
      <c r="A9" s="40">
        <v>2002</v>
      </c>
      <c r="B9" s="40" t="s">
        <v>102</v>
      </c>
      <c r="C9" s="40" t="s">
        <v>43</v>
      </c>
      <c r="D9" s="40" t="s">
        <v>118</v>
      </c>
      <c r="E9" s="47">
        <v>0.16800000000000001</v>
      </c>
      <c r="F9" s="40"/>
      <c r="G9" s="40">
        <v>61.524271634637003</v>
      </c>
      <c r="O9" s="47">
        <v>0</v>
      </c>
      <c r="P9" s="37">
        <f>O9/100</f>
        <v>0</v>
      </c>
    </row>
    <row r="10" spans="1:16">
      <c r="A10" s="39">
        <v>2002</v>
      </c>
      <c r="B10" s="39" t="s">
        <v>103</v>
      </c>
      <c r="C10" s="39" t="s">
        <v>43</v>
      </c>
      <c r="D10" s="39" t="s">
        <v>118</v>
      </c>
      <c r="E10" s="48">
        <v>0.221</v>
      </c>
      <c r="F10" s="39"/>
      <c r="G10" s="39">
        <v>47.249220066149398</v>
      </c>
      <c r="O10" s="48">
        <v>22.1</v>
      </c>
      <c r="P10" s="37">
        <f t="shared" ref="P10:P73" si="0">O10/100</f>
        <v>0.221</v>
      </c>
    </row>
    <row r="11" spans="1:16">
      <c r="A11" s="40">
        <v>2002</v>
      </c>
      <c r="B11" s="40" t="s">
        <v>104</v>
      </c>
      <c r="C11" s="40" t="s">
        <v>43</v>
      </c>
      <c r="D11" s="40" t="s">
        <v>118</v>
      </c>
      <c r="E11" s="47">
        <v>0.161</v>
      </c>
      <c r="F11" s="40"/>
      <c r="G11" s="40">
        <v>70.288666402057899</v>
      </c>
      <c r="O11" s="47">
        <v>16.100000000000001</v>
      </c>
      <c r="P11" s="37">
        <f t="shared" si="0"/>
        <v>0.161</v>
      </c>
    </row>
    <row r="12" spans="1:16">
      <c r="A12" s="39">
        <v>2002</v>
      </c>
      <c r="B12" s="39" t="s">
        <v>105</v>
      </c>
      <c r="C12" s="39" t="s">
        <v>43</v>
      </c>
      <c r="D12" s="39" t="s">
        <v>118</v>
      </c>
      <c r="E12" s="48">
        <v>0.13300000000000001</v>
      </c>
      <c r="F12" s="39"/>
      <c r="G12" s="39">
        <v>77.188553643752002</v>
      </c>
      <c r="O12" s="48">
        <v>13.3</v>
      </c>
      <c r="P12" s="37">
        <f t="shared" si="0"/>
        <v>0.13300000000000001</v>
      </c>
    </row>
    <row r="13" spans="1:16">
      <c r="A13" s="40">
        <v>2002</v>
      </c>
      <c r="B13" s="40" t="s">
        <v>106</v>
      </c>
      <c r="C13" s="40" t="s">
        <v>43</v>
      </c>
      <c r="D13" s="40" t="s">
        <v>118</v>
      </c>
      <c r="E13" s="47">
        <v>0.25</v>
      </c>
      <c r="F13" s="40"/>
      <c r="G13" s="40">
        <v>42.0003105384761</v>
      </c>
      <c r="O13" s="47">
        <v>25</v>
      </c>
      <c r="P13" s="37">
        <f t="shared" si="0"/>
        <v>0.25</v>
      </c>
    </row>
    <row r="14" spans="1:16">
      <c r="A14" s="39">
        <v>2002</v>
      </c>
      <c r="B14" s="39" t="s">
        <v>109</v>
      </c>
      <c r="C14" s="39" t="s">
        <v>43</v>
      </c>
      <c r="D14" s="39" t="s">
        <v>118</v>
      </c>
      <c r="E14" s="48">
        <v>0.1</v>
      </c>
      <c r="F14" s="39"/>
      <c r="G14" s="39">
        <v>102.00077634618999</v>
      </c>
      <c r="O14" s="48">
        <v>10</v>
      </c>
      <c r="P14" s="37">
        <f t="shared" si="0"/>
        <v>0.1</v>
      </c>
    </row>
    <row r="15" spans="1:16">
      <c r="A15" s="40">
        <v>2002</v>
      </c>
      <c r="B15" s="40" t="s">
        <v>108</v>
      </c>
      <c r="C15" s="40" t="s">
        <v>43</v>
      </c>
      <c r="D15" s="40" t="s">
        <v>118</v>
      </c>
      <c r="E15" s="47">
        <v>8.8000000000000009E-2</v>
      </c>
      <c r="F15" s="40"/>
      <c r="G15" s="40">
        <v>115.63724584794301</v>
      </c>
      <c r="I15" s="37" t="s">
        <v>156</v>
      </c>
      <c r="O15" s="47">
        <v>8.8000000000000007</v>
      </c>
      <c r="P15" s="37">
        <f t="shared" si="0"/>
        <v>8.8000000000000009E-2</v>
      </c>
    </row>
    <row r="16" spans="1:16">
      <c r="A16" s="39">
        <v>2002</v>
      </c>
      <c r="B16" s="39" t="s">
        <v>110</v>
      </c>
      <c r="C16" s="39" t="s">
        <v>43</v>
      </c>
      <c r="D16" s="39" t="s">
        <v>118</v>
      </c>
      <c r="E16" s="48">
        <v>0.20199999999999999</v>
      </c>
      <c r="F16" s="39"/>
      <c r="G16" s="39">
        <v>51.505334824846599</v>
      </c>
      <c r="O16" s="48">
        <v>20.2</v>
      </c>
      <c r="P16" s="37">
        <f t="shared" si="0"/>
        <v>0.20199999999999999</v>
      </c>
    </row>
    <row r="17" spans="1:16">
      <c r="A17" s="40">
        <v>2002</v>
      </c>
      <c r="B17" s="40" t="s">
        <v>111</v>
      </c>
      <c r="C17" s="40" t="s">
        <v>43</v>
      </c>
      <c r="D17" s="40" t="s">
        <v>118</v>
      </c>
      <c r="E17" s="47">
        <v>0.16899999999999998</v>
      </c>
      <c r="F17" s="40"/>
      <c r="G17" s="40">
        <v>61.172057009580001</v>
      </c>
      <c r="O17" s="47">
        <v>16.899999999999999</v>
      </c>
      <c r="P17" s="37">
        <f t="shared" si="0"/>
        <v>0.16899999999999998</v>
      </c>
    </row>
    <row r="18" spans="1:16">
      <c r="A18" s="39">
        <v>2002</v>
      </c>
      <c r="B18" s="39" t="s">
        <v>102</v>
      </c>
      <c r="C18" s="39" t="s">
        <v>44</v>
      </c>
      <c r="D18" s="39" t="s">
        <v>118</v>
      </c>
      <c r="E18" s="48">
        <v>0.13400000000000001</v>
      </c>
      <c r="F18" s="39"/>
      <c r="G18" s="39">
        <v>76.627445034470298</v>
      </c>
      <c r="O18" s="48">
        <v>13.4</v>
      </c>
      <c r="P18" s="37">
        <f t="shared" si="0"/>
        <v>0.13400000000000001</v>
      </c>
    </row>
    <row r="19" spans="1:16">
      <c r="A19" s="40">
        <v>2002</v>
      </c>
      <c r="B19" s="40" t="s">
        <v>103</v>
      </c>
      <c r="C19" s="40" t="s">
        <v>44</v>
      </c>
      <c r="D19" s="40" t="s">
        <v>118</v>
      </c>
      <c r="E19" s="47">
        <v>0.17300000000000001</v>
      </c>
      <c r="F19" s="40"/>
      <c r="G19" s="40">
        <v>59.803916963115697</v>
      </c>
      <c r="O19" s="47">
        <v>17.3</v>
      </c>
      <c r="P19" s="37">
        <f t="shared" si="0"/>
        <v>0.17300000000000001</v>
      </c>
    </row>
    <row r="20" spans="1:16">
      <c r="A20" s="39">
        <v>2002</v>
      </c>
      <c r="B20" s="39" t="s">
        <v>104</v>
      </c>
      <c r="C20" s="39" t="s">
        <v>44</v>
      </c>
      <c r="D20" s="39" t="s">
        <v>118</v>
      </c>
      <c r="E20" s="48">
        <v>0.11</v>
      </c>
      <c r="F20" s="39"/>
      <c r="G20" s="39">
        <v>92.909796678354695</v>
      </c>
      <c r="O20" s="48">
        <v>11</v>
      </c>
      <c r="P20" s="37">
        <f t="shared" si="0"/>
        <v>0.11</v>
      </c>
    </row>
    <row r="21" spans="1:16">
      <c r="A21" s="40">
        <v>2002</v>
      </c>
      <c r="B21" s="40" t="s">
        <v>105</v>
      </c>
      <c r="C21" s="40" t="s">
        <v>44</v>
      </c>
      <c r="D21" s="40" t="s">
        <v>118</v>
      </c>
      <c r="E21" s="47">
        <v>8.5999999999999993E-2</v>
      </c>
      <c r="F21" s="40"/>
      <c r="G21" s="40">
        <v>118.27997249556999</v>
      </c>
      <c r="O21" s="47">
        <v>8.6</v>
      </c>
      <c r="P21" s="37">
        <f t="shared" si="0"/>
        <v>8.5999999999999993E-2</v>
      </c>
    </row>
    <row r="22" spans="1:16">
      <c r="A22" s="39">
        <v>2002</v>
      </c>
      <c r="B22" s="39" t="s">
        <v>106</v>
      </c>
      <c r="C22" s="39" t="s">
        <v>44</v>
      </c>
      <c r="D22" s="39" t="s">
        <v>118</v>
      </c>
      <c r="E22" s="48">
        <v>0.187</v>
      </c>
      <c r="F22" s="39"/>
      <c r="G22" s="39">
        <v>1541.5505161854601</v>
      </c>
      <c r="O22" s="48">
        <v>18.7</v>
      </c>
      <c r="P22" s="37">
        <f t="shared" si="0"/>
        <v>0.187</v>
      </c>
    </row>
    <row r="23" spans="1:16">
      <c r="A23" s="40">
        <v>2002</v>
      </c>
      <c r="B23" s="40" t="s">
        <v>109</v>
      </c>
      <c r="C23" s="40" t="s">
        <v>44</v>
      </c>
      <c r="D23" s="40" t="s">
        <v>118</v>
      </c>
      <c r="E23" s="47">
        <v>6.2E-2</v>
      </c>
      <c r="F23" s="40"/>
      <c r="G23" s="40">
        <v>163.29157475192</v>
      </c>
      <c r="O23" s="47">
        <v>6.2</v>
      </c>
      <c r="P23" s="37">
        <f t="shared" si="0"/>
        <v>6.2E-2</v>
      </c>
    </row>
    <row r="24" spans="1:16">
      <c r="A24" s="39">
        <v>2002</v>
      </c>
      <c r="B24" s="39" t="s">
        <v>108</v>
      </c>
      <c r="C24" s="39" t="s">
        <v>44</v>
      </c>
      <c r="D24" s="39" t="s">
        <v>118</v>
      </c>
      <c r="E24" s="48">
        <v>9.5000000000000001E-2</v>
      </c>
      <c r="F24" s="39"/>
      <c r="G24" s="39">
        <v>107.263975101253</v>
      </c>
      <c r="K24" s="37" t="s">
        <v>112</v>
      </c>
      <c r="O24" s="48">
        <v>9.5</v>
      </c>
      <c r="P24" s="37">
        <f t="shared" si="0"/>
        <v>9.5000000000000001E-2</v>
      </c>
    </row>
    <row r="25" spans="1:16">
      <c r="A25" s="40">
        <v>2002</v>
      </c>
      <c r="B25" s="40" t="s">
        <v>110</v>
      </c>
      <c r="C25" s="40" t="s">
        <v>44</v>
      </c>
      <c r="D25" s="40" t="s">
        <v>118</v>
      </c>
      <c r="E25" s="47">
        <v>0.14599999999999999</v>
      </c>
      <c r="F25" s="40"/>
      <c r="G25" s="40">
        <v>183.76017735330399</v>
      </c>
      <c r="O25" s="47">
        <v>14.6</v>
      </c>
      <c r="P25" s="37">
        <f t="shared" si="0"/>
        <v>0.14599999999999999</v>
      </c>
    </row>
    <row r="26" spans="1:16">
      <c r="A26" s="39">
        <v>2002</v>
      </c>
      <c r="B26" s="39" t="s">
        <v>111</v>
      </c>
      <c r="C26" s="39" t="s">
        <v>44</v>
      </c>
      <c r="D26" s="39" t="s">
        <v>118</v>
      </c>
      <c r="E26" s="48">
        <v>8.3000000000000004E-2</v>
      </c>
      <c r="F26" s="39"/>
      <c r="G26" s="39">
        <v>122.482863067699</v>
      </c>
      <c r="O26" s="48">
        <v>8.3000000000000007</v>
      </c>
      <c r="P26" s="37">
        <f t="shared" si="0"/>
        <v>8.3000000000000004E-2</v>
      </c>
    </row>
    <row r="27" spans="1:16">
      <c r="A27" s="40">
        <v>2007</v>
      </c>
      <c r="B27" s="40" t="s">
        <v>102</v>
      </c>
      <c r="C27" s="40" t="s">
        <v>43</v>
      </c>
      <c r="D27" s="40" t="s">
        <v>118</v>
      </c>
      <c r="E27" s="47">
        <v>0.22146253699999999</v>
      </c>
      <c r="F27" s="40"/>
      <c r="G27" s="40">
        <v>304.09352378138402</v>
      </c>
      <c r="O27" s="47">
        <v>22.146253699999999</v>
      </c>
      <c r="P27" s="37">
        <f t="shared" si="0"/>
        <v>0.22146253699999999</v>
      </c>
    </row>
    <row r="28" spans="1:16">
      <c r="A28" s="39">
        <v>2007</v>
      </c>
      <c r="B28" s="39" t="s">
        <v>103</v>
      </c>
      <c r="C28" s="39" t="s">
        <v>43</v>
      </c>
      <c r="D28" s="39" t="s">
        <v>118</v>
      </c>
      <c r="E28" s="48">
        <v>0.21588449399999998</v>
      </c>
      <c r="F28" s="39"/>
      <c r="G28" s="39">
        <v>295.68662234422999</v>
      </c>
      <c r="O28" s="48">
        <v>21.588449399999998</v>
      </c>
      <c r="P28" s="37">
        <f t="shared" si="0"/>
        <v>0.21588449399999998</v>
      </c>
    </row>
    <row r="29" spans="1:16">
      <c r="A29" s="40">
        <v>2007</v>
      </c>
      <c r="B29" s="40" t="s">
        <v>104</v>
      </c>
      <c r="C29" s="40" t="s">
        <v>43</v>
      </c>
      <c r="D29" s="40" t="s">
        <v>118</v>
      </c>
      <c r="E29" s="47">
        <v>0.113706721</v>
      </c>
      <c r="F29" s="40"/>
      <c r="G29" s="40">
        <v>306.38316192723801</v>
      </c>
      <c r="O29" s="47">
        <v>11.3706721</v>
      </c>
      <c r="P29" s="37">
        <f t="shared" si="0"/>
        <v>0.113706721</v>
      </c>
    </row>
    <row r="30" spans="1:16">
      <c r="A30" s="39">
        <v>2007</v>
      </c>
      <c r="B30" s="39" t="s">
        <v>105</v>
      </c>
      <c r="C30" s="39" t="s">
        <v>43</v>
      </c>
      <c r="D30" s="39" t="s">
        <v>118</v>
      </c>
      <c r="E30" s="48">
        <v>0.11518903699999999</v>
      </c>
      <c r="F30" s="39"/>
      <c r="G30" s="39">
        <v>316.94690556939003</v>
      </c>
      <c r="O30" s="48">
        <v>11.518903699999999</v>
      </c>
      <c r="P30" s="37">
        <f t="shared" si="0"/>
        <v>0.11518903699999999</v>
      </c>
    </row>
    <row r="31" spans="1:16">
      <c r="A31" s="40">
        <v>2007</v>
      </c>
      <c r="B31" s="40" t="s">
        <v>106</v>
      </c>
      <c r="C31" s="40" t="s">
        <v>43</v>
      </c>
      <c r="D31" s="40" t="s">
        <v>118</v>
      </c>
      <c r="E31" s="47">
        <v>0.22397826299999998</v>
      </c>
      <c r="F31" s="40"/>
      <c r="G31" s="40">
        <v>261.16873150479302</v>
      </c>
      <c r="O31" s="47">
        <v>22.397826299999998</v>
      </c>
      <c r="P31" s="37">
        <f t="shared" si="0"/>
        <v>0.22397826299999998</v>
      </c>
    </row>
    <row r="32" spans="1:16">
      <c r="A32" s="39">
        <v>2007</v>
      </c>
      <c r="B32" s="39" t="s">
        <v>107</v>
      </c>
      <c r="C32" s="39" t="s">
        <v>43</v>
      </c>
      <c r="D32" s="39" t="s">
        <v>118</v>
      </c>
      <c r="E32" s="48">
        <v>6.8093292999999999E-2</v>
      </c>
      <c r="F32" s="39"/>
      <c r="G32" s="39">
        <v>162.33130938969299</v>
      </c>
      <c r="O32" s="48">
        <v>6.8093292999999999</v>
      </c>
      <c r="P32" s="37">
        <f t="shared" si="0"/>
        <v>6.8093292999999999E-2</v>
      </c>
    </row>
    <row r="33" spans="1:16">
      <c r="A33" s="40">
        <v>2007</v>
      </c>
      <c r="B33" s="40" t="s">
        <v>108</v>
      </c>
      <c r="C33" s="40" t="s">
        <v>43</v>
      </c>
      <c r="D33" s="40" t="s">
        <v>118</v>
      </c>
      <c r="E33" s="47">
        <v>9.1291021000000014E-2</v>
      </c>
      <c r="F33" s="40"/>
      <c r="G33" s="40">
        <v>186.550054650367</v>
      </c>
      <c r="O33" s="47">
        <v>9.1291021000000008</v>
      </c>
      <c r="P33" s="37">
        <f t="shared" si="0"/>
        <v>9.1291021000000014E-2</v>
      </c>
    </row>
    <row r="34" spans="1:16">
      <c r="A34" s="39">
        <v>2007</v>
      </c>
      <c r="B34" s="39" t="s">
        <v>109</v>
      </c>
      <c r="C34" s="39" t="s">
        <v>43</v>
      </c>
      <c r="D34" s="39" t="s">
        <v>118</v>
      </c>
      <c r="E34" s="48">
        <v>8.2724281000000011E-2</v>
      </c>
      <c r="F34" s="39"/>
      <c r="G34" s="39">
        <v>154.68356905172999</v>
      </c>
      <c r="O34" s="48">
        <v>8.2724281000000008</v>
      </c>
      <c r="P34" s="37">
        <f t="shared" si="0"/>
        <v>8.2724281000000011E-2</v>
      </c>
    </row>
    <row r="35" spans="1:16">
      <c r="A35" s="40">
        <v>2007</v>
      </c>
      <c r="B35" s="40" t="s">
        <v>110</v>
      </c>
      <c r="C35" s="40" t="s">
        <v>43</v>
      </c>
      <c r="D35" s="40" t="s">
        <v>118</v>
      </c>
      <c r="E35" s="47">
        <v>0.15768985499999999</v>
      </c>
      <c r="F35" s="40"/>
      <c r="G35" s="40">
        <v>383.31194484664098</v>
      </c>
      <c r="O35" s="47">
        <v>15.768985499999999</v>
      </c>
      <c r="P35" s="37">
        <f t="shared" si="0"/>
        <v>0.15768985499999999</v>
      </c>
    </row>
    <row r="36" spans="1:16">
      <c r="A36" s="39">
        <v>2007</v>
      </c>
      <c r="B36" s="39" t="s">
        <v>111</v>
      </c>
      <c r="C36" s="39" t="s">
        <v>43</v>
      </c>
      <c r="D36" s="39" t="s">
        <v>118</v>
      </c>
      <c r="E36" s="48">
        <v>0.160430246</v>
      </c>
      <c r="F36" s="39"/>
      <c r="G36" s="39">
        <v>223.93519783201901</v>
      </c>
      <c r="O36" s="48">
        <v>16.043024599999999</v>
      </c>
      <c r="P36" s="37">
        <f t="shared" si="0"/>
        <v>0.160430246</v>
      </c>
    </row>
    <row r="37" spans="1:16">
      <c r="A37" s="40">
        <v>2007</v>
      </c>
      <c r="B37" s="40" t="s">
        <v>102</v>
      </c>
      <c r="C37" s="40" t="s">
        <v>44</v>
      </c>
      <c r="D37" s="40" t="s">
        <v>118</v>
      </c>
      <c r="E37" s="47">
        <v>0.129651298</v>
      </c>
      <c r="F37" s="40"/>
      <c r="G37" s="40">
        <v>269.26839434274501</v>
      </c>
      <c r="O37" s="47">
        <v>12.9651298</v>
      </c>
      <c r="P37" s="37">
        <f t="shared" si="0"/>
        <v>0.129651298</v>
      </c>
    </row>
    <row r="38" spans="1:16">
      <c r="A38" s="39">
        <v>2007</v>
      </c>
      <c r="B38" s="39" t="s">
        <v>103</v>
      </c>
      <c r="C38" s="39" t="s">
        <v>44</v>
      </c>
      <c r="D38" s="39" t="s">
        <v>118</v>
      </c>
      <c r="E38" s="48">
        <v>0.12330584500000001</v>
      </c>
      <c r="F38" s="39"/>
      <c r="G38" s="39">
        <v>288.86704553670501</v>
      </c>
      <c r="O38" s="48">
        <v>12.330584500000001</v>
      </c>
      <c r="P38" s="37">
        <f t="shared" si="0"/>
        <v>0.12330584500000001</v>
      </c>
    </row>
    <row r="39" spans="1:16">
      <c r="A39" s="40">
        <v>2007</v>
      </c>
      <c r="B39" s="40" t="s">
        <v>104</v>
      </c>
      <c r="C39" s="40" t="s">
        <v>44</v>
      </c>
      <c r="D39" s="40" t="s">
        <v>118</v>
      </c>
      <c r="E39" s="47">
        <v>9.1175849000000003E-2</v>
      </c>
      <c r="F39" s="40"/>
      <c r="G39" s="40">
        <v>298.39501323760499</v>
      </c>
      <c r="O39" s="47">
        <v>9.1175849000000007</v>
      </c>
      <c r="P39" s="37">
        <f t="shared" si="0"/>
        <v>9.1175849000000003E-2</v>
      </c>
    </row>
    <row r="40" spans="1:16">
      <c r="A40" s="39">
        <v>2007</v>
      </c>
      <c r="B40" s="39" t="s">
        <v>105</v>
      </c>
      <c r="C40" s="39" t="s">
        <v>44</v>
      </c>
      <c r="D40" s="39" t="s">
        <v>118</v>
      </c>
      <c r="E40" s="48">
        <v>0.15316891999999999</v>
      </c>
      <c r="F40" s="39"/>
      <c r="G40" s="39">
        <v>358.15914714222498</v>
      </c>
      <c r="O40" s="48">
        <v>15.316891999999999</v>
      </c>
      <c r="P40" s="37">
        <f t="shared" si="0"/>
        <v>0.15316891999999999</v>
      </c>
    </row>
    <row r="41" spans="1:16">
      <c r="A41" s="40">
        <v>2007</v>
      </c>
      <c r="B41" s="40" t="s">
        <v>106</v>
      </c>
      <c r="C41" s="40" t="s">
        <v>44</v>
      </c>
      <c r="D41" s="40" t="s">
        <v>118</v>
      </c>
      <c r="E41" s="47">
        <v>0.19066514800000001</v>
      </c>
      <c r="F41" s="40"/>
      <c r="G41" s="40">
        <v>454.21998996846202</v>
      </c>
      <c r="O41" s="47">
        <v>19.0665148</v>
      </c>
      <c r="P41" s="37">
        <f t="shared" si="0"/>
        <v>0.19066514800000001</v>
      </c>
    </row>
    <row r="42" spans="1:16">
      <c r="A42" s="39">
        <v>2007</v>
      </c>
      <c r="B42" s="39" t="s">
        <v>107</v>
      </c>
      <c r="C42" s="39" t="s">
        <v>44</v>
      </c>
      <c r="D42" s="39" t="s">
        <v>118</v>
      </c>
      <c r="E42" s="48">
        <v>3.5900894000000003E-2</v>
      </c>
      <c r="F42" s="39"/>
      <c r="G42" s="39">
        <v>280.54675804505098</v>
      </c>
      <c r="O42" s="48">
        <v>3.5900894000000001</v>
      </c>
      <c r="P42" s="37">
        <f t="shared" si="0"/>
        <v>3.5900894000000003E-2</v>
      </c>
    </row>
    <row r="43" spans="1:16">
      <c r="A43" s="40">
        <v>2007</v>
      </c>
      <c r="B43" s="40" t="s">
        <v>108</v>
      </c>
      <c r="C43" s="40" t="s">
        <v>44</v>
      </c>
      <c r="D43" s="40" t="s">
        <v>118</v>
      </c>
      <c r="E43" s="47">
        <v>4.5057692999999996E-2</v>
      </c>
      <c r="F43" s="40"/>
      <c r="G43" s="40">
        <v>273.54926230551303</v>
      </c>
      <c r="O43" s="47">
        <v>4.5057692999999999</v>
      </c>
      <c r="P43" s="37">
        <f t="shared" si="0"/>
        <v>4.5057692999999996E-2</v>
      </c>
    </row>
    <row r="44" spans="1:16">
      <c r="A44" s="39">
        <v>2007</v>
      </c>
      <c r="B44" s="39" t="s">
        <v>109</v>
      </c>
      <c r="C44" s="39" t="s">
        <v>44</v>
      </c>
      <c r="D44" s="39" t="s">
        <v>118</v>
      </c>
      <c r="E44" s="48">
        <v>7.6718238999999994E-2</v>
      </c>
      <c r="F44" s="39"/>
      <c r="G44" s="39">
        <v>179.76071543812799</v>
      </c>
      <c r="O44" s="48">
        <v>7.6718238999999997</v>
      </c>
      <c r="P44" s="37">
        <f t="shared" si="0"/>
        <v>7.6718238999999994E-2</v>
      </c>
    </row>
    <row r="45" spans="1:16">
      <c r="A45" s="40">
        <v>2007</v>
      </c>
      <c r="B45" s="40" t="s">
        <v>110</v>
      </c>
      <c r="C45" s="40" t="s">
        <v>44</v>
      </c>
      <c r="D45" s="40" t="s">
        <v>118</v>
      </c>
      <c r="E45" s="47">
        <v>0.1321220145</v>
      </c>
      <c r="F45" s="40"/>
      <c r="G45" s="40">
        <v>250.685217156513</v>
      </c>
      <c r="O45" s="47">
        <v>13.21220145</v>
      </c>
      <c r="P45" s="37">
        <f t="shared" si="0"/>
        <v>0.1321220145</v>
      </c>
    </row>
    <row r="46" spans="1:16">
      <c r="A46" s="39">
        <v>2007</v>
      </c>
      <c r="B46" s="39" t="s">
        <v>111</v>
      </c>
      <c r="C46" s="39" t="s">
        <v>44</v>
      </c>
      <c r="D46" s="39" t="s">
        <v>118</v>
      </c>
      <c r="E46" s="48">
        <v>0.13729602899999999</v>
      </c>
      <c r="F46" s="39"/>
      <c r="G46" s="39">
        <v>245.253875616676</v>
      </c>
      <c r="O46" s="48">
        <v>13.7296029</v>
      </c>
      <c r="P46" s="37">
        <f t="shared" si="0"/>
        <v>0.13729602899999999</v>
      </c>
    </row>
    <row r="47" spans="1:16">
      <c r="A47" s="40">
        <v>2014</v>
      </c>
      <c r="B47" s="40" t="s">
        <v>102</v>
      </c>
      <c r="C47" s="40" t="s">
        <v>43</v>
      </c>
      <c r="D47" s="40" t="s">
        <v>118</v>
      </c>
      <c r="E47" s="47">
        <v>0.14800000000000002</v>
      </c>
      <c r="F47" s="40"/>
      <c r="G47" s="40">
        <v>878.27904161647803</v>
      </c>
      <c r="O47" s="47">
        <v>14.8</v>
      </c>
      <c r="P47" s="37">
        <f t="shared" si="0"/>
        <v>0.14800000000000002</v>
      </c>
    </row>
    <row r="48" spans="1:16">
      <c r="A48" s="39">
        <v>2014</v>
      </c>
      <c r="B48" s="39" t="s">
        <v>103</v>
      </c>
      <c r="C48" s="39" t="s">
        <v>43</v>
      </c>
      <c r="D48" s="39" t="s">
        <v>118</v>
      </c>
      <c r="E48" s="48">
        <v>0.2</v>
      </c>
      <c r="F48" s="39"/>
      <c r="G48" s="39">
        <v>733.13113013640304</v>
      </c>
      <c r="O48" s="48">
        <v>20</v>
      </c>
      <c r="P48" s="37">
        <f t="shared" si="0"/>
        <v>0.2</v>
      </c>
    </row>
    <row r="49" spans="1:29">
      <c r="A49" s="40">
        <v>2014</v>
      </c>
      <c r="B49" s="40" t="s">
        <v>105</v>
      </c>
      <c r="C49" s="40" t="s">
        <v>43</v>
      </c>
      <c r="D49" s="40" t="s">
        <v>118</v>
      </c>
      <c r="E49" s="47">
        <v>0.121</v>
      </c>
      <c r="F49" s="40"/>
      <c r="G49" s="40">
        <v>747.134417904727</v>
      </c>
      <c r="O49" s="47">
        <v>12.1</v>
      </c>
      <c r="P49" s="37">
        <f t="shared" si="0"/>
        <v>0.121</v>
      </c>
    </row>
    <row r="50" spans="1:29">
      <c r="A50" s="39">
        <v>2014</v>
      </c>
      <c r="B50" s="39" t="s">
        <v>106</v>
      </c>
      <c r="C50" s="39" t="s">
        <v>43</v>
      </c>
      <c r="D50" s="39" t="s">
        <v>118</v>
      </c>
      <c r="E50" s="48">
        <v>0.19399999999999998</v>
      </c>
      <c r="F50" s="39"/>
      <c r="G50" s="39">
        <v>608.93796592169804</v>
      </c>
      <c r="O50" s="48">
        <v>19.399999999999999</v>
      </c>
      <c r="P50" s="37">
        <f t="shared" si="0"/>
        <v>0.19399999999999998</v>
      </c>
    </row>
    <row r="51" spans="1:29">
      <c r="A51" s="40">
        <v>2014</v>
      </c>
      <c r="B51" s="40" t="s">
        <v>108</v>
      </c>
      <c r="C51" s="40" t="s">
        <v>43</v>
      </c>
      <c r="D51" s="40" t="s">
        <v>118</v>
      </c>
      <c r="E51" s="47">
        <v>7.9000000000000001E-2</v>
      </c>
      <c r="F51" s="40"/>
      <c r="G51" s="40">
        <v>676.86435830010498</v>
      </c>
      <c r="O51" s="47">
        <v>7.9</v>
      </c>
      <c r="P51" s="37">
        <f t="shared" si="0"/>
        <v>7.9000000000000001E-2</v>
      </c>
    </row>
    <row r="52" spans="1:29">
      <c r="A52" s="39">
        <v>2014</v>
      </c>
      <c r="B52" s="39" t="s">
        <v>110</v>
      </c>
      <c r="C52" s="39" t="s">
        <v>43</v>
      </c>
      <c r="D52" s="39" t="s">
        <v>118</v>
      </c>
      <c r="E52" s="48">
        <v>0.14699999999999999</v>
      </c>
      <c r="F52" s="39"/>
      <c r="G52" s="39">
        <v>558.65632347456904</v>
      </c>
      <c r="O52" s="48">
        <v>14.7</v>
      </c>
      <c r="P52" s="37">
        <f t="shared" si="0"/>
        <v>0.14699999999999999</v>
      </c>
    </row>
    <row r="53" spans="1:29">
      <c r="A53" s="40">
        <v>2014</v>
      </c>
      <c r="B53" s="40" t="s">
        <v>111</v>
      </c>
      <c r="C53" s="40" t="s">
        <v>43</v>
      </c>
      <c r="D53" s="40" t="s">
        <v>118</v>
      </c>
      <c r="E53" s="47">
        <v>0.17499999999999999</v>
      </c>
      <c r="F53" s="40"/>
      <c r="G53" s="40">
        <v>430.75766618109498</v>
      </c>
      <c r="O53" s="47">
        <v>17.5</v>
      </c>
      <c r="P53" s="37">
        <f t="shared" si="0"/>
        <v>0.17499999999999999</v>
      </c>
    </row>
    <row r="54" spans="1:29">
      <c r="A54" s="39">
        <v>2014</v>
      </c>
      <c r="B54" s="39" t="s">
        <v>109</v>
      </c>
      <c r="C54" s="39" t="s">
        <v>43</v>
      </c>
      <c r="D54" s="39" t="s">
        <v>118</v>
      </c>
      <c r="E54" s="48">
        <v>0.10400000000000001</v>
      </c>
      <c r="F54" s="39"/>
      <c r="G54" s="39">
        <v>604.56617068274704</v>
      </c>
      <c r="O54" s="48">
        <v>10.4</v>
      </c>
      <c r="P54" s="37">
        <f t="shared" si="0"/>
        <v>0.10400000000000001</v>
      </c>
    </row>
    <row r="55" spans="1:29">
      <c r="A55" s="40">
        <v>2014</v>
      </c>
      <c r="B55" s="40" t="s">
        <v>107</v>
      </c>
      <c r="C55" s="40" t="s">
        <v>43</v>
      </c>
      <c r="D55" s="40" t="s">
        <v>118</v>
      </c>
      <c r="E55" s="47">
        <v>6.9000000000000006E-2</v>
      </c>
      <c r="F55" s="40"/>
      <c r="G55" s="40">
        <v>725.61774703337596</v>
      </c>
      <c r="O55" s="47">
        <v>6.9</v>
      </c>
      <c r="P55" s="37">
        <f t="shared" si="0"/>
        <v>6.9000000000000006E-2</v>
      </c>
    </row>
    <row r="56" spans="1:29">
      <c r="A56" s="39">
        <v>2014</v>
      </c>
      <c r="B56" s="39" t="s">
        <v>104</v>
      </c>
      <c r="C56" s="39" t="s">
        <v>43</v>
      </c>
      <c r="D56" s="39" t="s">
        <v>118</v>
      </c>
      <c r="E56" s="48">
        <v>0.109</v>
      </c>
      <c r="F56" s="39"/>
      <c r="G56" s="39">
        <v>1038.82543743305</v>
      </c>
      <c r="O56" s="48">
        <v>10.9</v>
      </c>
      <c r="P56" s="37">
        <f t="shared" si="0"/>
        <v>0.109</v>
      </c>
    </row>
    <row r="57" spans="1:29">
      <c r="A57" s="40">
        <v>2014</v>
      </c>
      <c r="B57" s="40" t="s">
        <v>102</v>
      </c>
      <c r="C57" s="40" t="s">
        <v>44</v>
      </c>
      <c r="D57" s="40" t="s">
        <v>118</v>
      </c>
      <c r="E57" s="47">
        <v>9.8000000000000004E-2</v>
      </c>
      <c r="F57" s="40"/>
      <c r="G57" s="40">
        <v>569.31935780582796</v>
      </c>
      <c r="O57" s="47">
        <v>9.8000000000000007</v>
      </c>
      <c r="P57" s="37">
        <f t="shared" si="0"/>
        <v>9.8000000000000004E-2</v>
      </c>
    </row>
    <row r="58" spans="1:29">
      <c r="A58" s="39">
        <v>2014</v>
      </c>
      <c r="B58" s="39" t="s">
        <v>103</v>
      </c>
      <c r="C58" s="39" t="s">
        <v>44</v>
      </c>
      <c r="D58" s="39" t="s">
        <v>118</v>
      </c>
      <c r="E58" s="48">
        <v>0.16200000000000001</v>
      </c>
      <c r="F58" s="39"/>
      <c r="G58" s="39">
        <v>498.09728999868599</v>
      </c>
      <c r="O58" s="48">
        <v>16.2</v>
      </c>
      <c r="P58" s="37">
        <f t="shared" si="0"/>
        <v>0.16200000000000001</v>
      </c>
    </row>
    <row r="59" spans="1:29">
      <c r="A59" s="40">
        <v>2014</v>
      </c>
      <c r="B59" s="40" t="s">
        <v>105</v>
      </c>
      <c r="C59" s="40" t="s">
        <v>44</v>
      </c>
      <c r="D59" s="40" t="s">
        <v>118</v>
      </c>
      <c r="E59" s="47">
        <v>9.6999999999999989E-2</v>
      </c>
      <c r="F59" s="40"/>
      <c r="G59" s="40">
        <v>730.82762589413198</v>
      </c>
      <c r="O59" s="47">
        <v>9.6999999999999993</v>
      </c>
      <c r="P59" s="37">
        <f t="shared" si="0"/>
        <v>9.6999999999999989E-2</v>
      </c>
      <c r="Y59" s="37" t="s">
        <v>161</v>
      </c>
      <c r="AA59" s="37" t="s">
        <v>162</v>
      </c>
      <c r="AC59" s="37" t="s">
        <v>163</v>
      </c>
    </row>
    <row r="60" spans="1:29">
      <c r="A60" s="39">
        <v>2014</v>
      </c>
      <c r="B60" s="39" t="s">
        <v>106</v>
      </c>
      <c r="C60" s="39" t="s">
        <v>44</v>
      </c>
      <c r="D60" s="39" t="s">
        <v>118</v>
      </c>
      <c r="E60" s="48">
        <v>0.13</v>
      </c>
      <c r="F60" s="39"/>
      <c r="G60" s="39">
        <v>624.95371389638103</v>
      </c>
      <c r="O60" s="48">
        <v>13</v>
      </c>
      <c r="P60" s="37">
        <f t="shared" si="0"/>
        <v>0.13</v>
      </c>
      <c r="U60" s="51">
        <v>2016</v>
      </c>
      <c r="V60" s="52" t="s">
        <v>102</v>
      </c>
      <c r="W60" s="52" t="s">
        <v>43</v>
      </c>
      <c r="X60" s="52" t="s">
        <v>157</v>
      </c>
      <c r="Y60" s="52">
        <v>9.0800000000000006E-2</v>
      </c>
      <c r="Z60" s="52" t="s">
        <v>118</v>
      </c>
      <c r="AA60" s="37">
        <v>0.1565</v>
      </c>
      <c r="AC60" s="37">
        <f>ABS((Y60-AA60)/Y60)</f>
        <v>0.7235682819383259</v>
      </c>
    </row>
    <row r="61" spans="1:29">
      <c r="A61" s="40">
        <v>2014</v>
      </c>
      <c r="B61" s="40" t="s">
        <v>108</v>
      </c>
      <c r="C61" s="40" t="s">
        <v>44</v>
      </c>
      <c r="D61" s="40" t="s">
        <v>118</v>
      </c>
      <c r="E61" s="47">
        <v>6.4000000000000001E-2</v>
      </c>
      <c r="F61" s="40"/>
      <c r="G61" s="40">
        <v>445.20127389032899</v>
      </c>
      <c r="O61" s="47">
        <v>6.4</v>
      </c>
      <c r="P61" s="37">
        <f t="shared" si="0"/>
        <v>6.4000000000000001E-2</v>
      </c>
      <c r="U61" s="53">
        <v>2016</v>
      </c>
      <c r="V61" s="54" t="s">
        <v>103</v>
      </c>
      <c r="W61" s="54" t="s">
        <v>43</v>
      </c>
      <c r="X61" s="54" t="s">
        <v>157</v>
      </c>
      <c r="Y61" s="54">
        <v>0.10009999999999999</v>
      </c>
      <c r="Z61" s="54" t="s">
        <v>118</v>
      </c>
      <c r="AA61" s="37">
        <v>0.18690000000000001</v>
      </c>
      <c r="AB61" s="37" t="s">
        <v>112</v>
      </c>
      <c r="AC61" s="37">
        <f t="shared" ref="AC61:AC79" si="1">ABS((Y61-AA61)/Y61)</f>
        <v>0.8671328671328673</v>
      </c>
    </row>
    <row r="62" spans="1:29">
      <c r="A62" s="39">
        <v>2014</v>
      </c>
      <c r="B62" s="39" t="s">
        <v>110</v>
      </c>
      <c r="C62" s="39" t="s">
        <v>44</v>
      </c>
      <c r="D62" s="39" t="s">
        <v>118</v>
      </c>
      <c r="E62" s="48">
        <v>0.11</v>
      </c>
      <c r="F62" s="39"/>
      <c r="G62" s="39">
        <v>751.10669522733201</v>
      </c>
      <c r="O62" s="48">
        <v>11</v>
      </c>
      <c r="P62" s="37">
        <f t="shared" si="0"/>
        <v>0.11</v>
      </c>
      <c r="U62" s="55">
        <v>2016</v>
      </c>
      <c r="V62" s="56" t="s">
        <v>104</v>
      </c>
      <c r="W62" s="56" t="s">
        <v>43</v>
      </c>
      <c r="X62" s="56" t="s">
        <v>157</v>
      </c>
      <c r="Y62" s="56">
        <v>5.1799999999999999E-2</v>
      </c>
      <c r="Z62" s="56" t="s">
        <v>118</v>
      </c>
      <c r="AA62" s="37">
        <v>0.10589999999999999</v>
      </c>
      <c r="AC62" s="37">
        <f t="shared" si="1"/>
        <v>1.0444015444015444</v>
      </c>
    </row>
    <row r="63" spans="1:29">
      <c r="A63" s="40">
        <v>2014</v>
      </c>
      <c r="B63" s="40" t="s">
        <v>111</v>
      </c>
      <c r="C63" s="40" t="s">
        <v>44</v>
      </c>
      <c r="D63" s="40" t="s">
        <v>118</v>
      </c>
      <c r="E63" s="47">
        <v>0.125</v>
      </c>
      <c r="F63" s="40"/>
      <c r="G63" s="40">
        <v>561.96814952598902</v>
      </c>
      <c r="O63" s="47">
        <v>12.5</v>
      </c>
      <c r="P63" s="37">
        <f t="shared" si="0"/>
        <v>0.125</v>
      </c>
      <c r="U63" s="53">
        <v>2016</v>
      </c>
      <c r="V63" s="54" t="s">
        <v>105</v>
      </c>
      <c r="W63" s="54" t="s">
        <v>43</v>
      </c>
      <c r="X63" s="54" t="s">
        <v>157</v>
      </c>
      <c r="Y63" s="54">
        <v>7.2599999999999998E-2</v>
      </c>
      <c r="Z63" s="54" t="s">
        <v>118</v>
      </c>
      <c r="AA63" s="37">
        <v>0.1239</v>
      </c>
      <c r="AC63" s="37">
        <f t="shared" si="1"/>
        <v>0.70661157024793386</v>
      </c>
    </row>
    <row r="64" spans="1:29">
      <c r="A64" s="39">
        <v>2014</v>
      </c>
      <c r="B64" s="39" t="s">
        <v>109</v>
      </c>
      <c r="C64" s="39" t="s">
        <v>44</v>
      </c>
      <c r="D64" s="39" t="s">
        <v>118</v>
      </c>
      <c r="E64" s="48">
        <v>0.106</v>
      </c>
      <c r="F64" s="39"/>
      <c r="G64" s="39">
        <v>526.08279081072703</v>
      </c>
      <c r="O64" s="48">
        <v>10.6</v>
      </c>
      <c r="P64" s="37">
        <f t="shared" si="0"/>
        <v>0.106</v>
      </c>
      <c r="U64" s="55">
        <v>2016</v>
      </c>
      <c r="V64" s="56" t="s">
        <v>106</v>
      </c>
      <c r="W64" s="56" t="s">
        <v>43</v>
      </c>
      <c r="X64" s="56" t="s">
        <v>157</v>
      </c>
      <c r="Y64" s="56">
        <v>0.12429999999999999</v>
      </c>
      <c r="Z64" s="56" t="s">
        <v>118</v>
      </c>
      <c r="AA64" s="37">
        <v>0.1963</v>
      </c>
      <c r="AC64" s="37">
        <f t="shared" si="1"/>
        <v>0.57924376508447317</v>
      </c>
    </row>
    <row r="65" spans="1:29">
      <c r="A65" s="40">
        <v>2014</v>
      </c>
      <c r="B65" s="40" t="s">
        <v>107</v>
      </c>
      <c r="C65" s="40" t="s">
        <v>44</v>
      </c>
      <c r="D65" s="40" t="s">
        <v>118</v>
      </c>
      <c r="E65" s="47">
        <v>5.7999999999999996E-2</v>
      </c>
      <c r="F65" s="40"/>
      <c r="G65" s="40">
        <v>506.85155580912698</v>
      </c>
      <c r="O65" s="47">
        <v>5.8</v>
      </c>
      <c r="P65" s="37">
        <f t="shared" si="0"/>
        <v>5.7999999999999996E-2</v>
      </c>
      <c r="U65" s="53">
        <v>2016</v>
      </c>
      <c r="V65" s="54" t="s">
        <v>107</v>
      </c>
      <c r="W65" s="54" t="s">
        <v>43</v>
      </c>
      <c r="X65" s="54" t="s">
        <v>157</v>
      </c>
      <c r="Y65" s="54">
        <v>3.44E-2</v>
      </c>
      <c r="Z65" s="54" t="s">
        <v>118</v>
      </c>
      <c r="AA65" s="37">
        <v>5.1999999999999998E-2</v>
      </c>
      <c r="AC65" s="37">
        <f t="shared" si="1"/>
        <v>0.5116279069767441</v>
      </c>
    </row>
    <row r="66" spans="1:29">
      <c r="A66" s="39">
        <v>2014</v>
      </c>
      <c r="B66" s="39" t="s">
        <v>104</v>
      </c>
      <c r="C66" s="39" t="s">
        <v>44</v>
      </c>
      <c r="D66" s="39" t="s">
        <v>118</v>
      </c>
      <c r="E66" s="48">
        <v>7.6999999999999999E-2</v>
      </c>
      <c r="F66" s="39"/>
      <c r="G66" s="39">
        <v>850.86773496008402</v>
      </c>
      <c r="O66" s="48">
        <v>7.7</v>
      </c>
      <c r="P66" s="37">
        <f t="shared" si="0"/>
        <v>7.6999999999999999E-2</v>
      </c>
      <c r="U66" s="55">
        <v>2016</v>
      </c>
      <c r="V66" s="56" t="s">
        <v>109</v>
      </c>
      <c r="W66" s="56" t="s">
        <v>43</v>
      </c>
      <c r="X66" s="56" t="s">
        <v>157</v>
      </c>
      <c r="Y66" s="56">
        <v>7.9200000000000007E-2</v>
      </c>
      <c r="Z66" s="56" t="s">
        <v>118</v>
      </c>
      <c r="AA66" s="37">
        <v>6.3299999999999995E-2</v>
      </c>
      <c r="AC66" s="37">
        <f t="shared" si="1"/>
        <v>0.20075757575757588</v>
      </c>
    </row>
    <row r="67" spans="1:29">
      <c r="A67" s="40">
        <v>2016</v>
      </c>
      <c r="B67" s="40" t="s">
        <v>102</v>
      </c>
      <c r="C67" s="40" t="s">
        <v>43</v>
      </c>
      <c r="D67" s="40" t="s">
        <v>118</v>
      </c>
      <c r="E67" s="40">
        <v>0.16250000000000001</v>
      </c>
      <c r="F67" s="40"/>
      <c r="G67" s="40">
        <v>89.46533203125</v>
      </c>
      <c r="O67" s="40">
        <v>9.08</v>
      </c>
      <c r="P67" s="37">
        <f t="shared" si="0"/>
        <v>9.0800000000000006E-2</v>
      </c>
      <c r="U67" s="53">
        <v>2016</v>
      </c>
      <c r="V67" s="54" t="s">
        <v>108</v>
      </c>
      <c r="W67" s="54" t="s">
        <v>43</v>
      </c>
      <c r="X67" s="54" t="s">
        <v>157</v>
      </c>
      <c r="Y67" s="54">
        <v>4.8099999999999997E-2</v>
      </c>
      <c r="Z67" s="54" t="s">
        <v>118</v>
      </c>
      <c r="AA67" s="37">
        <v>8.2500000000000004E-2</v>
      </c>
      <c r="AC67" s="37">
        <f t="shared" si="1"/>
        <v>0.71517671517671533</v>
      </c>
    </row>
    <row r="68" spans="1:29">
      <c r="A68" s="39">
        <v>2016</v>
      </c>
      <c r="B68" s="39" t="s">
        <v>103</v>
      </c>
      <c r="C68" s="39" t="s">
        <v>43</v>
      </c>
      <c r="D68" s="39" t="s">
        <v>118</v>
      </c>
      <c r="E68" s="39">
        <v>0.17260000000000003</v>
      </c>
      <c r="F68" s="39"/>
      <c r="G68" s="39">
        <v>216.943359375</v>
      </c>
      <c r="O68" s="39">
        <v>10.01</v>
      </c>
      <c r="P68" s="37">
        <f t="shared" si="0"/>
        <v>0.10009999999999999</v>
      </c>
      <c r="U68" s="55">
        <v>2016</v>
      </c>
      <c r="V68" s="56" t="s">
        <v>110</v>
      </c>
      <c r="W68" s="56" t="s">
        <v>43</v>
      </c>
      <c r="X68" s="56" t="s">
        <v>157</v>
      </c>
      <c r="Y68" s="56">
        <v>0.11600000000000001</v>
      </c>
      <c r="Z68" s="56" t="s">
        <v>118</v>
      </c>
      <c r="AA68" s="37">
        <v>0.16220000000000001</v>
      </c>
      <c r="AC68" s="37">
        <f t="shared" si="1"/>
        <v>0.39827586206896554</v>
      </c>
    </row>
    <row r="69" spans="1:29">
      <c r="A69" s="40">
        <v>2016</v>
      </c>
      <c r="B69" s="40" t="s">
        <v>104</v>
      </c>
      <c r="C69" s="40" t="s">
        <v>43</v>
      </c>
      <c r="D69" s="40" t="s">
        <v>118</v>
      </c>
      <c r="E69" s="40">
        <v>0.10070000000000001</v>
      </c>
      <c r="F69" s="40"/>
      <c r="G69" s="40">
        <v>63.0126953125</v>
      </c>
      <c r="O69" s="40">
        <v>5.18</v>
      </c>
      <c r="P69" s="37">
        <f t="shared" si="0"/>
        <v>5.1799999999999999E-2</v>
      </c>
      <c r="U69" s="53">
        <v>2016</v>
      </c>
      <c r="V69" s="54" t="s">
        <v>111</v>
      </c>
      <c r="W69" s="54" t="s">
        <v>43</v>
      </c>
      <c r="X69" s="54" t="s">
        <v>157</v>
      </c>
      <c r="Y69" s="54">
        <v>0.1366</v>
      </c>
      <c r="Z69" s="54" t="s">
        <v>118</v>
      </c>
      <c r="AA69" s="37">
        <v>0.18279999999999999</v>
      </c>
      <c r="AC69" s="37">
        <f t="shared" si="1"/>
        <v>0.33821376281112731</v>
      </c>
    </row>
    <row r="70" spans="1:29">
      <c r="A70" s="39">
        <v>2016</v>
      </c>
      <c r="B70" s="39" t="s">
        <v>105</v>
      </c>
      <c r="C70" s="39" t="s">
        <v>43</v>
      </c>
      <c r="D70" s="39" t="s">
        <v>118</v>
      </c>
      <c r="E70" s="39">
        <v>0.109</v>
      </c>
      <c r="F70" s="39"/>
      <c r="G70" s="39">
        <v>37.0361328125</v>
      </c>
      <c r="O70" s="39">
        <v>7.26</v>
      </c>
      <c r="P70" s="37">
        <f t="shared" si="0"/>
        <v>7.2599999999999998E-2</v>
      </c>
      <c r="U70" s="55">
        <v>2016</v>
      </c>
      <c r="V70" s="56" t="s">
        <v>102</v>
      </c>
      <c r="W70" s="56" t="s">
        <v>44</v>
      </c>
      <c r="X70" s="56" t="s">
        <v>157</v>
      </c>
      <c r="Y70" s="56">
        <v>9.0800000000000006E-2</v>
      </c>
      <c r="Z70" s="56" t="s">
        <v>118</v>
      </c>
      <c r="AA70" s="37">
        <v>9.7799999999999998E-2</v>
      </c>
      <c r="AC70" s="37">
        <f t="shared" si="1"/>
        <v>7.7092511013215764E-2</v>
      </c>
    </row>
    <row r="71" spans="1:29">
      <c r="A71" s="40">
        <v>2016</v>
      </c>
      <c r="B71" s="40" t="s">
        <v>106</v>
      </c>
      <c r="C71" s="40" t="s">
        <v>43</v>
      </c>
      <c r="D71" s="40" t="s">
        <v>118</v>
      </c>
      <c r="E71" s="40">
        <v>0.17910000000000001</v>
      </c>
      <c r="F71" s="40"/>
      <c r="G71" s="40">
        <v>226.1962890625</v>
      </c>
      <c r="O71" s="40">
        <v>12.43</v>
      </c>
      <c r="P71" s="37">
        <f t="shared" si="0"/>
        <v>0.12429999999999999</v>
      </c>
      <c r="U71" s="53">
        <v>2016</v>
      </c>
      <c r="V71" s="54" t="s">
        <v>103</v>
      </c>
      <c r="W71" s="54" t="s">
        <v>44</v>
      </c>
      <c r="X71" s="54" t="s">
        <v>157</v>
      </c>
      <c r="Y71" s="54">
        <v>0.10009999999999999</v>
      </c>
      <c r="Z71" s="54" t="s">
        <v>118</v>
      </c>
      <c r="AA71" s="37">
        <v>0.11650000000000001</v>
      </c>
      <c r="AC71" s="37">
        <f t="shared" si="1"/>
        <v>0.16383616383616395</v>
      </c>
    </row>
    <row r="72" spans="1:29">
      <c r="A72" s="39">
        <v>2016</v>
      </c>
      <c r="B72" s="39" t="s">
        <v>107</v>
      </c>
      <c r="C72" s="39" t="s">
        <v>43</v>
      </c>
      <c r="D72" s="39" t="s">
        <v>118</v>
      </c>
      <c r="E72" s="39">
        <v>7.8E-2</v>
      </c>
      <c r="F72" s="39"/>
      <c r="G72" s="39">
        <v>28.680419921875</v>
      </c>
      <c r="O72" s="39">
        <v>3.44</v>
      </c>
      <c r="P72" s="37">
        <f t="shared" si="0"/>
        <v>3.44E-2</v>
      </c>
      <c r="U72" s="55">
        <v>2016</v>
      </c>
      <c r="V72" s="56" t="s">
        <v>104</v>
      </c>
      <c r="W72" s="56" t="s">
        <v>44</v>
      </c>
      <c r="X72" s="56" t="s">
        <v>157</v>
      </c>
      <c r="Y72" s="56">
        <v>5.1799999999999999E-2</v>
      </c>
      <c r="Z72" s="56" t="s">
        <v>118</v>
      </c>
      <c r="AA72" s="37">
        <v>6.2899999999999998E-2</v>
      </c>
      <c r="AC72" s="37">
        <f t="shared" si="1"/>
        <v>0.21428571428571427</v>
      </c>
    </row>
    <row r="73" spans="1:29">
      <c r="A73" s="40">
        <v>2016</v>
      </c>
      <c r="B73" s="40" t="s">
        <v>109</v>
      </c>
      <c r="C73" s="40" t="s">
        <v>43</v>
      </c>
      <c r="D73" s="40" t="s">
        <v>118</v>
      </c>
      <c r="E73" s="40">
        <v>0.109</v>
      </c>
      <c r="F73" s="40"/>
      <c r="G73" s="40">
        <v>65.4296875</v>
      </c>
      <c r="O73" s="40">
        <v>7.92</v>
      </c>
      <c r="P73" s="37">
        <f t="shared" si="0"/>
        <v>7.9199999999999993E-2</v>
      </c>
      <c r="U73" s="53">
        <v>2016</v>
      </c>
      <c r="V73" s="54" t="s">
        <v>105</v>
      </c>
      <c r="W73" s="54" t="s">
        <v>44</v>
      </c>
      <c r="X73" s="54" t="s">
        <v>157</v>
      </c>
      <c r="Y73" s="54">
        <v>7.2599999999999998E-2</v>
      </c>
      <c r="Z73" s="54" t="s">
        <v>118</v>
      </c>
      <c r="AA73" s="37">
        <v>7.6399999999999996E-2</v>
      </c>
      <c r="AC73" s="37">
        <f t="shared" si="1"/>
        <v>5.2341597796143224E-2</v>
      </c>
    </row>
    <row r="74" spans="1:29">
      <c r="A74" s="39">
        <v>2016</v>
      </c>
      <c r="B74" s="39" t="s">
        <v>108</v>
      </c>
      <c r="C74" s="39" t="s">
        <v>43</v>
      </c>
      <c r="D74" s="39" t="s">
        <v>118</v>
      </c>
      <c r="E74" s="39">
        <v>8.1699999999999995E-2</v>
      </c>
      <c r="F74" s="39"/>
      <c r="G74" s="39">
        <v>61.474609375</v>
      </c>
      <c r="O74" s="39">
        <v>4.8099999999999996</v>
      </c>
      <c r="P74" s="37">
        <f t="shared" ref="P74:P86" si="2">O74/100</f>
        <v>4.8099999999999997E-2</v>
      </c>
      <c r="U74" s="55">
        <v>2016</v>
      </c>
      <c r="V74" s="56" t="s">
        <v>106</v>
      </c>
      <c r="W74" s="56" t="s">
        <v>44</v>
      </c>
      <c r="X74" s="56" t="s">
        <v>157</v>
      </c>
      <c r="Y74" s="56">
        <v>0.12429999999999999</v>
      </c>
      <c r="Z74" s="56" t="s">
        <v>118</v>
      </c>
      <c r="AA74" s="37">
        <v>0.1215</v>
      </c>
      <c r="AC74" s="37">
        <f t="shared" si="1"/>
        <v>2.2526146419951706E-2</v>
      </c>
    </row>
    <row r="75" spans="1:29">
      <c r="A75" s="40">
        <v>2016</v>
      </c>
      <c r="B75" s="40" t="s">
        <v>110</v>
      </c>
      <c r="C75" s="40" t="s">
        <v>43</v>
      </c>
      <c r="D75" s="40" t="s">
        <v>118</v>
      </c>
      <c r="E75" s="40">
        <v>0.14410000000000001</v>
      </c>
      <c r="F75" s="40"/>
      <c r="G75" s="40">
        <v>110.7666015625</v>
      </c>
      <c r="O75" s="40">
        <v>11.6</v>
      </c>
      <c r="P75" s="37">
        <f t="shared" si="2"/>
        <v>0.11599999999999999</v>
      </c>
      <c r="U75" s="53">
        <v>2016</v>
      </c>
      <c r="V75" s="54" t="s">
        <v>107</v>
      </c>
      <c r="W75" s="54" t="s">
        <v>44</v>
      </c>
      <c r="X75" s="54" t="s">
        <v>157</v>
      </c>
      <c r="Y75" s="54">
        <v>3.44E-2</v>
      </c>
      <c r="Z75" s="54" t="s">
        <v>118</v>
      </c>
      <c r="AA75" s="37">
        <v>3.2899999999999999E-2</v>
      </c>
      <c r="AC75" s="37">
        <f t="shared" si="1"/>
        <v>4.3604651162790733E-2</v>
      </c>
    </row>
    <row r="76" spans="1:29">
      <c r="A76" s="39">
        <v>2016</v>
      </c>
      <c r="B76" s="39" t="s">
        <v>111</v>
      </c>
      <c r="C76" s="39" t="s">
        <v>43</v>
      </c>
      <c r="D76" s="39" t="s">
        <v>118</v>
      </c>
      <c r="E76" s="39">
        <v>0.18100000000000002</v>
      </c>
      <c r="F76" s="39"/>
      <c r="G76" s="39">
        <v>35.7421875</v>
      </c>
      <c r="O76" s="39">
        <v>13.66</v>
      </c>
      <c r="P76" s="37">
        <f t="shared" si="2"/>
        <v>0.1366</v>
      </c>
      <c r="U76" s="55">
        <v>2016</v>
      </c>
      <c r="V76" s="56" t="s">
        <v>109</v>
      </c>
      <c r="W76" s="56" t="s">
        <v>44</v>
      </c>
      <c r="X76" s="56" t="s">
        <v>157</v>
      </c>
      <c r="Y76" s="56">
        <v>7.9200000000000007E-2</v>
      </c>
      <c r="Z76" s="56" t="s">
        <v>118</v>
      </c>
      <c r="AA76" s="37">
        <v>3.8100000000000002E-2</v>
      </c>
      <c r="AC76" s="37">
        <f t="shared" si="1"/>
        <v>0.51893939393939392</v>
      </c>
    </row>
    <row r="77" spans="1:29">
      <c r="A77" s="40">
        <v>2016</v>
      </c>
      <c r="B77" s="40" t="s">
        <v>102</v>
      </c>
      <c r="C77" s="40" t="s">
        <v>44</v>
      </c>
      <c r="D77" s="40" t="s">
        <v>118</v>
      </c>
      <c r="E77" s="40">
        <v>8.4900000000000003E-2</v>
      </c>
      <c r="F77" s="40"/>
      <c r="G77" s="40">
        <v>43.359375</v>
      </c>
      <c r="O77" s="40">
        <v>9.08</v>
      </c>
      <c r="P77" s="37">
        <f t="shared" si="2"/>
        <v>9.0800000000000006E-2</v>
      </c>
      <c r="U77" s="53">
        <v>2016</v>
      </c>
      <c r="V77" s="54" t="s">
        <v>108</v>
      </c>
      <c r="W77" s="54" t="s">
        <v>44</v>
      </c>
      <c r="X77" s="54" t="s">
        <v>157</v>
      </c>
      <c r="Y77" s="54">
        <v>4.8099999999999997E-2</v>
      </c>
      <c r="Z77" s="54" t="s">
        <v>118</v>
      </c>
      <c r="AA77" s="37">
        <v>4.8300000000000003E-2</v>
      </c>
      <c r="AC77" s="37">
        <f t="shared" si="1"/>
        <v>4.1580041580042771E-3</v>
      </c>
    </row>
    <row r="78" spans="1:29">
      <c r="A78" s="39">
        <v>2016</v>
      </c>
      <c r="B78" s="39" t="s">
        <v>103</v>
      </c>
      <c r="C78" s="39" t="s">
        <v>44</v>
      </c>
      <c r="D78" s="39" t="s">
        <v>118</v>
      </c>
      <c r="E78" s="39">
        <v>8.9200000000000002E-2</v>
      </c>
      <c r="F78" s="39"/>
      <c r="G78" s="39">
        <v>92.7734375</v>
      </c>
      <c r="O78" s="39">
        <v>10.01</v>
      </c>
      <c r="P78" s="37">
        <f t="shared" si="2"/>
        <v>0.10009999999999999</v>
      </c>
      <c r="U78" s="55">
        <v>2016</v>
      </c>
      <c r="V78" s="56" t="s">
        <v>110</v>
      </c>
      <c r="W78" s="56" t="s">
        <v>44</v>
      </c>
      <c r="X78" s="56" t="s">
        <v>157</v>
      </c>
      <c r="Y78" s="56">
        <v>0.11600000000000001</v>
      </c>
      <c r="Z78" s="56" t="s">
        <v>118</v>
      </c>
      <c r="AA78" s="37">
        <v>0.1</v>
      </c>
      <c r="AC78" s="37">
        <f t="shared" si="1"/>
        <v>0.13793103448275862</v>
      </c>
    </row>
    <row r="79" spans="1:29">
      <c r="A79" s="40">
        <v>2016</v>
      </c>
      <c r="B79" s="40" t="s">
        <v>104</v>
      </c>
      <c r="C79" s="40" t="s">
        <v>44</v>
      </c>
      <c r="D79" s="40" t="s">
        <v>118</v>
      </c>
      <c r="E79" s="40">
        <v>4.4800000000000006E-2</v>
      </c>
      <c r="F79" s="40"/>
      <c r="G79" s="40">
        <v>19.64111328125</v>
      </c>
      <c r="O79" s="40">
        <v>5.18</v>
      </c>
      <c r="P79" s="37">
        <f t="shared" si="2"/>
        <v>5.1799999999999999E-2</v>
      </c>
      <c r="U79" s="53">
        <v>2016</v>
      </c>
      <c r="V79" s="54" t="s">
        <v>111</v>
      </c>
      <c r="W79" s="54" t="s">
        <v>44</v>
      </c>
      <c r="X79" s="54" t="s">
        <v>157</v>
      </c>
      <c r="Y79" s="54">
        <v>0.1366</v>
      </c>
      <c r="Z79" s="54" t="s">
        <v>118</v>
      </c>
      <c r="AA79" s="37">
        <v>0.1118</v>
      </c>
      <c r="AC79" s="37">
        <f t="shared" si="1"/>
        <v>0.18155197657393854</v>
      </c>
    </row>
    <row r="80" spans="1:29">
      <c r="A80" s="39">
        <v>2016</v>
      </c>
      <c r="B80" s="39" t="s">
        <v>105</v>
      </c>
      <c r="C80" s="39" t="s">
        <v>44</v>
      </c>
      <c r="D80" s="39" t="s">
        <v>118</v>
      </c>
      <c r="E80" s="39">
        <v>6.8200000000000011E-2</v>
      </c>
      <c r="F80" s="39"/>
      <c r="G80" s="39">
        <v>15.673828125</v>
      </c>
      <c r="O80" s="39">
        <v>7.26</v>
      </c>
      <c r="P80" s="37">
        <f t="shared" si="2"/>
        <v>7.2599999999999998E-2</v>
      </c>
    </row>
    <row r="81" spans="1:16">
      <c r="A81" s="40">
        <v>2016</v>
      </c>
      <c r="B81" s="40" t="s">
        <v>106</v>
      </c>
      <c r="C81" s="40" t="s">
        <v>44</v>
      </c>
      <c r="D81" s="40" t="s">
        <v>118</v>
      </c>
      <c r="E81" s="40">
        <v>0.1066</v>
      </c>
      <c r="F81" s="40"/>
      <c r="G81" s="40">
        <v>96.47216796875</v>
      </c>
      <c r="O81" s="40">
        <v>12.43</v>
      </c>
      <c r="P81" s="37">
        <f t="shared" si="2"/>
        <v>0.12429999999999999</v>
      </c>
    </row>
    <row r="82" spans="1:16">
      <c r="A82" s="39">
        <v>2016</v>
      </c>
      <c r="B82" s="39" t="s">
        <v>107</v>
      </c>
      <c r="C82" s="39" t="s">
        <v>44</v>
      </c>
      <c r="D82" s="39" t="s">
        <v>118</v>
      </c>
      <c r="E82" s="39">
        <v>2.8500000000000001E-2</v>
      </c>
      <c r="F82" s="39"/>
      <c r="G82" s="39">
        <v>29.00390625</v>
      </c>
      <c r="O82" s="39">
        <v>3.44</v>
      </c>
      <c r="P82" s="37">
        <f t="shared" si="2"/>
        <v>3.44E-2</v>
      </c>
    </row>
    <row r="83" spans="1:16">
      <c r="A83" s="40">
        <v>2016</v>
      </c>
      <c r="B83" s="40" t="s">
        <v>109</v>
      </c>
      <c r="C83" s="40" t="s">
        <v>44</v>
      </c>
      <c r="D83" s="40" t="s">
        <v>118</v>
      </c>
      <c r="E83" s="40">
        <v>7.7499999999999999E-2</v>
      </c>
      <c r="F83" s="40"/>
      <c r="G83" s="40">
        <v>49.1943359375</v>
      </c>
      <c r="O83" s="40">
        <v>7.92</v>
      </c>
      <c r="P83" s="37">
        <f t="shared" si="2"/>
        <v>7.9199999999999993E-2</v>
      </c>
    </row>
    <row r="84" spans="1:16">
      <c r="A84" s="39">
        <v>2016</v>
      </c>
      <c r="B84" s="39" t="s">
        <v>108</v>
      </c>
      <c r="C84" s="39" t="s">
        <v>44</v>
      </c>
      <c r="D84" s="39" t="s">
        <v>118</v>
      </c>
      <c r="E84" s="39">
        <v>4.5599999999999995E-2</v>
      </c>
      <c r="F84" s="39"/>
      <c r="G84" s="39">
        <v>40.869140625</v>
      </c>
      <c r="O84" s="39">
        <v>4.8099999999999996</v>
      </c>
      <c r="P84" s="37">
        <f t="shared" si="2"/>
        <v>4.8099999999999997E-2</v>
      </c>
    </row>
    <row r="85" spans="1:16">
      <c r="A85" s="40">
        <v>2016</v>
      </c>
      <c r="B85" s="40" t="s">
        <v>110</v>
      </c>
      <c r="C85" s="40" t="s">
        <v>44</v>
      </c>
      <c r="D85" s="40" t="s">
        <v>118</v>
      </c>
      <c r="E85" s="40">
        <v>0.107</v>
      </c>
      <c r="F85" s="40"/>
      <c r="G85" s="40">
        <v>142.8955078125</v>
      </c>
      <c r="O85" s="40">
        <v>11.6</v>
      </c>
      <c r="P85" s="37">
        <f t="shared" si="2"/>
        <v>0.11599999999999999</v>
      </c>
    </row>
    <row r="86" spans="1:16">
      <c r="A86" s="39">
        <v>2016</v>
      </c>
      <c r="B86" s="39" t="s">
        <v>111</v>
      </c>
      <c r="C86" s="39" t="s">
        <v>44</v>
      </c>
      <c r="D86" s="39" t="s">
        <v>118</v>
      </c>
      <c r="E86" s="39">
        <v>0.1217</v>
      </c>
      <c r="F86" s="39"/>
      <c r="G86" s="39">
        <v>37.744140625</v>
      </c>
      <c r="O86" s="39">
        <v>13.66</v>
      </c>
      <c r="P86" s="37">
        <f t="shared" si="2"/>
        <v>0.1366</v>
      </c>
    </row>
    <row r="87" spans="1:16">
      <c r="A87" s="40">
        <v>2016</v>
      </c>
      <c r="B87" s="40" t="s">
        <v>165</v>
      </c>
      <c r="C87" s="40" t="s">
        <v>44</v>
      </c>
      <c r="D87" s="40" t="s">
        <v>117</v>
      </c>
      <c r="E87" s="40">
        <v>1.6199999999999999E-2</v>
      </c>
      <c r="F87" s="40"/>
      <c r="G87" s="40">
        <v>1612.4175588348801</v>
      </c>
    </row>
    <row r="88" spans="1:16">
      <c r="A88" s="39">
        <v>2016</v>
      </c>
      <c r="B88" s="39" t="s">
        <v>165</v>
      </c>
      <c r="C88" s="39" t="s">
        <v>44</v>
      </c>
      <c r="D88" s="39" t="s">
        <v>133</v>
      </c>
      <c r="E88" s="39">
        <v>2.0400000000000001E-2</v>
      </c>
      <c r="F88" s="39"/>
      <c r="G88" s="39">
        <v>1183.9968596813701</v>
      </c>
    </row>
    <row r="89" spans="1:16">
      <c r="A89" s="40">
        <v>2016</v>
      </c>
      <c r="B89" s="40" t="s">
        <v>165</v>
      </c>
      <c r="C89" s="40" t="s">
        <v>44</v>
      </c>
      <c r="D89" s="40" t="s">
        <v>134</v>
      </c>
      <c r="E89" s="40">
        <v>5.5899999999999998E-2</v>
      </c>
      <c r="F89" s="40"/>
      <c r="G89" s="40">
        <v>815.58720930232596</v>
      </c>
      <c r="I89" s="37" t="s">
        <v>112</v>
      </c>
    </row>
    <row r="90" spans="1:16">
      <c r="A90" s="39">
        <v>2016</v>
      </c>
      <c r="B90" s="39" t="s">
        <v>165</v>
      </c>
      <c r="C90" s="39" t="s">
        <v>44</v>
      </c>
      <c r="D90" s="39" t="s">
        <v>135</v>
      </c>
      <c r="E90" s="39">
        <v>0.10929999999999999</v>
      </c>
      <c r="F90" s="39"/>
      <c r="G90" s="39">
        <v>737.12289855901201</v>
      </c>
    </row>
    <row r="91" spans="1:16">
      <c r="A91" s="40">
        <v>2016</v>
      </c>
      <c r="B91" s="40" t="s">
        <v>165</v>
      </c>
      <c r="C91" s="40" t="s">
        <v>44</v>
      </c>
      <c r="D91" s="40" t="s">
        <v>136</v>
      </c>
      <c r="E91" s="40">
        <v>0.15060000000000001</v>
      </c>
      <c r="F91" s="40"/>
      <c r="G91" s="40">
        <v>661.03795235723805</v>
      </c>
    </row>
    <row r="92" spans="1:16">
      <c r="A92" s="39">
        <v>2016</v>
      </c>
      <c r="B92" s="39" t="s">
        <v>165</v>
      </c>
      <c r="C92" s="39" t="s">
        <v>44</v>
      </c>
      <c r="D92" s="39" t="s">
        <v>137</v>
      </c>
      <c r="E92" s="39">
        <v>0.22189999999999999</v>
      </c>
      <c r="F92" s="39"/>
      <c r="G92" s="39">
        <v>555.15553177106801</v>
      </c>
    </row>
    <row r="93" spans="1:16">
      <c r="A93" s="40">
        <v>2016</v>
      </c>
      <c r="B93" s="40" t="s">
        <v>165</v>
      </c>
      <c r="C93" s="40" t="s">
        <v>44</v>
      </c>
      <c r="D93" s="40" t="s">
        <v>138</v>
      </c>
      <c r="E93" s="40">
        <v>0.23039999999999999</v>
      </c>
      <c r="F93" s="40"/>
      <c r="G93" s="40">
        <v>409.9873046875</v>
      </c>
    </row>
    <row r="94" spans="1:16">
      <c r="A94" s="39">
        <v>2016</v>
      </c>
      <c r="B94" s="39" t="s">
        <v>165</v>
      </c>
      <c r="C94" s="39" t="s">
        <v>44</v>
      </c>
      <c r="D94" s="39" t="s">
        <v>139</v>
      </c>
      <c r="E94" s="39">
        <v>0.2286</v>
      </c>
      <c r="F94" s="39"/>
      <c r="G94" s="39">
        <v>352.56993657042898</v>
      </c>
    </row>
    <row r="95" spans="1:16">
      <c r="A95" s="40">
        <v>2016</v>
      </c>
      <c r="B95" s="40" t="s">
        <v>165</v>
      </c>
      <c r="C95" s="40" t="s">
        <v>44</v>
      </c>
      <c r="D95" s="40" t="s">
        <v>140</v>
      </c>
      <c r="E95" s="40">
        <v>0.1686</v>
      </c>
      <c r="F95" s="40"/>
      <c r="G95" s="40">
        <v>295.71834223013099</v>
      </c>
    </row>
    <row r="96" spans="1:16">
      <c r="A96" s="39">
        <v>2016</v>
      </c>
      <c r="B96" s="39" t="s">
        <v>165</v>
      </c>
      <c r="C96" s="39" t="s">
        <v>43</v>
      </c>
      <c r="D96" s="39" t="s">
        <v>117</v>
      </c>
      <c r="E96" s="39">
        <v>3.3500000000000002E-2</v>
      </c>
      <c r="F96" s="39"/>
      <c r="G96" s="39">
        <v>1761.6427238806</v>
      </c>
    </row>
    <row r="97" spans="1:7">
      <c r="A97" s="40">
        <v>2016</v>
      </c>
      <c r="B97" s="40" t="s">
        <v>165</v>
      </c>
      <c r="C97" s="40" t="s">
        <v>43</v>
      </c>
      <c r="D97" s="40" t="s">
        <v>133</v>
      </c>
      <c r="E97" s="40">
        <v>8.3400000000000002E-2</v>
      </c>
      <c r="F97" s="40"/>
      <c r="G97" s="40">
        <v>1702.3006220023999</v>
      </c>
    </row>
    <row r="98" spans="1:7">
      <c r="A98" s="39">
        <v>2016</v>
      </c>
      <c r="B98" s="39" t="s">
        <v>165</v>
      </c>
      <c r="C98" s="39" t="s">
        <v>43</v>
      </c>
      <c r="D98" s="39" t="s">
        <v>134</v>
      </c>
      <c r="E98" s="39">
        <v>0.13569999999999999</v>
      </c>
      <c r="F98" s="39"/>
      <c r="G98" s="39">
        <v>1121.1908046241699</v>
      </c>
    </row>
    <row r="99" spans="1:7">
      <c r="A99" s="40">
        <v>2016</v>
      </c>
      <c r="B99" s="40" t="s">
        <v>165</v>
      </c>
      <c r="C99" s="40" t="s">
        <v>43</v>
      </c>
      <c r="D99" s="40" t="s">
        <v>135</v>
      </c>
      <c r="E99" s="40">
        <v>0.2016</v>
      </c>
      <c r="F99" s="40"/>
      <c r="G99" s="40">
        <v>1089.8511284722199</v>
      </c>
    </row>
    <row r="100" spans="1:7">
      <c r="A100" s="39">
        <v>2016</v>
      </c>
      <c r="B100" s="39" t="s">
        <v>165</v>
      </c>
      <c r="C100" s="39" t="s">
        <v>43</v>
      </c>
      <c r="D100" s="39" t="s">
        <v>136</v>
      </c>
      <c r="E100" s="39">
        <v>0.2465</v>
      </c>
      <c r="F100" s="39"/>
      <c r="G100" s="39">
        <v>840.26039553752503</v>
      </c>
    </row>
    <row r="101" spans="1:7">
      <c r="A101" s="40">
        <v>2016</v>
      </c>
      <c r="B101" s="40" t="s">
        <v>165</v>
      </c>
      <c r="C101" s="40" t="s">
        <v>43</v>
      </c>
      <c r="D101" s="40" t="s">
        <v>137</v>
      </c>
      <c r="E101" s="40">
        <v>0.29580000000000001</v>
      </c>
      <c r="F101" s="40"/>
      <c r="G101" s="40">
        <v>673.30716489181896</v>
      </c>
    </row>
    <row r="102" spans="1:7">
      <c r="A102" s="39">
        <v>2016</v>
      </c>
      <c r="B102" s="39" t="s">
        <v>165</v>
      </c>
      <c r="C102" s="39" t="s">
        <v>43</v>
      </c>
      <c r="D102" s="39" t="s">
        <v>138</v>
      </c>
      <c r="E102" s="39">
        <v>0.25850000000000001</v>
      </c>
      <c r="F102" s="39"/>
      <c r="G102" s="39">
        <v>528.21488152804602</v>
      </c>
    </row>
    <row r="103" spans="1:7">
      <c r="A103" s="40">
        <v>2016</v>
      </c>
      <c r="B103" s="40" t="s">
        <v>165</v>
      </c>
      <c r="C103" s="40" t="s">
        <v>43</v>
      </c>
      <c r="D103" s="40" t="s">
        <v>139</v>
      </c>
      <c r="E103" s="40">
        <v>0.2014</v>
      </c>
      <c r="F103" s="40"/>
      <c r="G103" s="40">
        <v>481.67482311320799</v>
      </c>
    </row>
    <row r="104" spans="1:7">
      <c r="A104" s="39">
        <v>2016</v>
      </c>
      <c r="B104" s="39" t="s">
        <v>165</v>
      </c>
      <c r="C104" s="39" t="s">
        <v>43</v>
      </c>
      <c r="D104" s="39" t="s">
        <v>140</v>
      </c>
      <c r="E104" s="39">
        <v>0.17749999999999999</v>
      </c>
      <c r="F104" s="39"/>
      <c r="G104" s="39">
        <v>253.763094190141</v>
      </c>
    </row>
    <row r="105" spans="1:7">
      <c r="A105" s="40">
        <v>2016</v>
      </c>
      <c r="B105" s="40" t="s">
        <v>165</v>
      </c>
      <c r="C105" s="40" t="s">
        <v>45</v>
      </c>
      <c r="D105" s="40" t="s">
        <v>117</v>
      </c>
      <c r="E105" s="40">
        <v>2.4899999999999999E-2</v>
      </c>
      <c r="F105" s="40"/>
      <c r="G105" s="40">
        <v>3170.84764056225</v>
      </c>
    </row>
    <row r="106" spans="1:7">
      <c r="A106" s="39">
        <v>2016</v>
      </c>
      <c r="B106" s="39" t="s">
        <v>165</v>
      </c>
      <c r="C106" s="39" t="s">
        <v>45</v>
      </c>
      <c r="D106" s="39" t="s">
        <v>133</v>
      </c>
      <c r="E106" s="39">
        <v>5.2400000000000002E-2</v>
      </c>
      <c r="F106" s="39"/>
      <c r="G106" s="39">
        <v>2877.8343571087798</v>
      </c>
    </row>
    <row r="107" spans="1:7">
      <c r="A107" s="40">
        <v>2016</v>
      </c>
      <c r="B107" s="40" t="s">
        <v>165</v>
      </c>
      <c r="C107" s="40" t="s">
        <v>45</v>
      </c>
      <c r="D107" s="40" t="s">
        <v>134</v>
      </c>
      <c r="E107" s="40">
        <v>9.8400000000000001E-2</v>
      </c>
      <c r="F107" s="40"/>
      <c r="G107" s="40">
        <v>2049.8729357215402</v>
      </c>
    </row>
    <row r="108" spans="1:7">
      <c r="A108" s="39">
        <v>2016</v>
      </c>
      <c r="B108" s="39" t="s">
        <v>165</v>
      </c>
      <c r="C108" s="39" t="s">
        <v>45</v>
      </c>
      <c r="D108" s="39" t="s">
        <v>135</v>
      </c>
      <c r="E108" s="39">
        <v>0.15870000000000001</v>
      </c>
      <c r="F108" s="39"/>
      <c r="G108" s="39">
        <v>1795.1334475425299</v>
      </c>
    </row>
    <row r="109" spans="1:7">
      <c r="A109" s="40">
        <v>2016</v>
      </c>
      <c r="B109" s="40" t="s">
        <v>165</v>
      </c>
      <c r="C109" s="40" t="s">
        <v>45</v>
      </c>
      <c r="D109" s="40" t="s">
        <v>136</v>
      </c>
      <c r="E109" s="40">
        <v>0.19900000000000001</v>
      </c>
      <c r="F109" s="40"/>
      <c r="G109" s="40">
        <v>1434.6264918341701</v>
      </c>
    </row>
    <row r="110" spans="1:7">
      <c r="A110" s="39">
        <v>2016</v>
      </c>
      <c r="B110" s="39" t="s">
        <v>165</v>
      </c>
      <c r="C110" s="39" t="s">
        <v>45</v>
      </c>
      <c r="D110" s="39" t="s">
        <v>137</v>
      </c>
      <c r="E110" s="39">
        <v>0.25769999999999998</v>
      </c>
      <c r="F110" s="39"/>
      <c r="G110" s="39">
        <v>1013.21573050058</v>
      </c>
    </row>
    <row r="111" spans="1:7">
      <c r="A111" s="40">
        <v>2016</v>
      </c>
      <c r="B111" s="40" t="s">
        <v>165</v>
      </c>
      <c r="C111" s="40" t="s">
        <v>45</v>
      </c>
      <c r="D111" s="40" t="s">
        <v>138</v>
      </c>
      <c r="E111" s="40">
        <v>0.24379999999999999</v>
      </c>
      <c r="F111" s="40"/>
      <c r="G111" s="40">
        <v>835.96913453650495</v>
      </c>
    </row>
    <row r="112" spans="1:7">
      <c r="A112" s="39">
        <v>2016</v>
      </c>
      <c r="B112" s="39" t="s">
        <v>165</v>
      </c>
      <c r="C112" s="39" t="s">
        <v>45</v>
      </c>
      <c r="D112" s="39" t="s">
        <v>139</v>
      </c>
      <c r="E112" s="39">
        <v>0.215</v>
      </c>
      <c r="F112" s="39"/>
      <c r="G112" s="39">
        <v>725.76617005814001</v>
      </c>
    </row>
    <row r="113" spans="1:7">
      <c r="A113" s="40">
        <v>2016</v>
      </c>
      <c r="B113" s="40" t="s">
        <v>165</v>
      </c>
      <c r="C113" s="40" t="s">
        <v>45</v>
      </c>
      <c r="D113" s="40" t="s">
        <v>140</v>
      </c>
      <c r="E113" s="40">
        <v>0.17319999999999999</v>
      </c>
      <c r="F113" s="40"/>
      <c r="G113" s="40">
        <v>490.369054922055</v>
      </c>
    </row>
    <row r="114" spans="1:7">
      <c r="A114" s="39">
        <v>2016</v>
      </c>
      <c r="B114" s="39" t="s">
        <v>165</v>
      </c>
      <c r="C114" s="39" t="s">
        <v>44</v>
      </c>
      <c r="D114" s="39" t="s">
        <v>118</v>
      </c>
      <c r="E114" s="39">
        <v>8.3199999999999996E-2</v>
      </c>
      <c r="F114" s="39"/>
      <c r="G114" s="39">
        <v>6157.8557692307704</v>
      </c>
    </row>
    <row r="115" spans="1:7">
      <c r="A115" s="40">
        <v>2016</v>
      </c>
      <c r="B115" s="40" t="s">
        <v>165</v>
      </c>
      <c r="C115" s="40" t="s">
        <v>43</v>
      </c>
      <c r="D115" s="40" t="s">
        <v>118</v>
      </c>
      <c r="E115" s="40">
        <v>0.1426</v>
      </c>
      <c r="F115" s="40"/>
      <c r="G115" s="40">
        <v>6309.3604488078499</v>
      </c>
    </row>
    <row r="116" spans="1:7">
      <c r="A116" s="39">
        <v>2016</v>
      </c>
      <c r="B116" s="39" t="s">
        <v>165</v>
      </c>
      <c r="C116" s="39" t="s">
        <v>45</v>
      </c>
      <c r="D116" s="39" t="s">
        <v>118</v>
      </c>
      <c r="E116" s="39">
        <v>0.1135</v>
      </c>
      <c r="F116" s="39"/>
      <c r="G116" s="39">
        <v>9149.5091547356806</v>
      </c>
    </row>
    <row r="117" spans="1:7">
      <c r="A117" s="40">
        <v>2016</v>
      </c>
      <c r="B117" s="40" t="s">
        <v>165</v>
      </c>
      <c r="C117" s="40" t="s">
        <v>44</v>
      </c>
      <c r="D117" s="40" t="s">
        <v>157</v>
      </c>
      <c r="E117" s="40">
        <v>9.2499999999999999E-2</v>
      </c>
      <c r="F117" s="40"/>
      <c r="G117" s="40">
        <v>6398.9712837837797</v>
      </c>
    </row>
    <row r="118" spans="1:7">
      <c r="A118" s="39">
        <v>2016</v>
      </c>
      <c r="B118" s="39" t="s">
        <v>165</v>
      </c>
      <c r="C118" s="39" t="s">
        <v>43</v>
      </c>
      <c r="D118" s="39" t="s">
        <v>157</v>
      </c>
      <c r="E118" s="39">
        <v>0.1464</v>
      </c>
      <c r="F118" s="39"/>
      <c r="G118" s="39">
        <v>6568.3678652237004</v>
      </c>
    </row>
    <row r="119" spans="1:7">
      <c r="A119" s="40">
        <v>2016</v>
      </c>
      <c r="B119" s="40" t="s">
        <v>165</v>
      </c>
      <c r="C119" s="40" t="s">
        <v>45</v>
      </c>
      <c r="D119" s="40" t="s">
        <v>157</v>
      </c>
      <c r="E119" s="40">
        <v>0.12</v>
      </c>
      <c r="F119" s="40"/>
      <c r="G119" s="40">
        <v>9313.3889973958303</v>
      </c>
    </row>
    <row r="120" spans="1:7">
      <c r="A120" s="39">
        <v>2013</v>
      </c>
      <c r="B120" s="39" t="s">
        <v>165</v>
      </c>
      <c r="C120" s="39" t="s">
        <v>43</v>
      </c>
      <c r="D120" s="39" t="s">
        <v>118</v>
      </c>
      <c r="E120" s="39">
        <v>0.151</v>
      </c>
      <c r="F120" s="39"/>
      <c r="G120" s="39">
        <v>4478.2229925496704</v>
      </c>
    </row>
    <row r="121" spans="1:7">
      <c r="A121" s="40">
        <v>2013</v>
      </c>
      <c r="B121" s="40" t="s">
        <v>165</v>
      </c>
      <c r="C121" s="40" t="s">
        <v>43</v>
      </c>
      <c r="D121" s="40" t="s">
        <v>117</v>
      </c>
      <c r="E121" s="40">
        <v>4.8000000000000001E-2</v>
      </c>
      <c r="F121" s="40"/>
      <c r="G121" s="40">
        <v>2177.4637044270798</v>
      </c>
    </row>
    <row r="122" spans="1:7">
      <c r="A122" s="39">
        <v>2013</v>
      </c>
      <c r="B122" s="39" t="s">
        <v>165</v>
      </c>
      <c r="C122" s="39" t="s">
        <v>43</v>
      </c>
      <c r="D122" s="39" t="s">
        <v>133</v>
      </c>
      <c r="E122" s="39">
        <v>0.112</v>
      </c>
      <c r="F122" s="39"/>
      <c r="G122" s="39">
        <v>1950.25306919643</v>
      </c>
    </row>
    <row r="123" spans="1:7">
      <c r="A123" s="40">
        <v>2013</v>
      </c>
      <c r="B123" s="40" t="s">
        <v>165</v>
      </c>
      <c r="C123" s="40" t="s">
        <v>43</v>
      </c>
      <c r="D123" s="40" t="s">
        <v>134</v>
      </c>
      <c r="E123" s="40">
        <v>0.15</v>
      </c>
      <c r="F123" s="40"/>
      <c r="G123" s="40">
        <v>1511.3463541666699</v>
      </c>
    </row>
    <row r="124" spans="1:7">
      <c r="A124" s="39">
        <v>2013</v>
      </c>
      <c r="B124" s="39" t="s">
        <v>165</v>
      </c>
      <c r="C124" s="39" t="s">
        <v>43</v>
      </c>
      <c r="D124" s="39" t="s">
        <v>135</v>
      </c>
      <c r="E124" s="39">
        <v>0.20699999999999999</v>
      </c>
      <c r="F124" s="39"/>
      <c r="G124" s="39">
        <v>1092.9766002415499</v>
      </c>
    </row>
    <row r="125" spans="1:7">
      <c r="A125" s="40">
        <v>2013</v>
      </c>
      <c r="B125" s="40" t="s">
        <v>165</v>
      </c>
      <c r="C125" s="40" t="s">
        <v>43</v>
      </c>
      <c r="D125" s="40" t="s">
        <v>136</v>
      </c>
      <c r="E125" s="40">
        <v>0.24199999999999999</v>
      </c>
      <c r="F125" s="40"/>
      <c r="G125" s="40">
        <v>709.03434917355401</v>
      </c>
    </row>
    <row r="126" spans="1:7">
      <c r="A126" s="39">
        <v>2013</v>
      </c>
      <c r="B126" s="39" t="s">
        <v>165</v>
      </c>
      <c r="C126" s="39" t="s">
        <v>43</v>
      </c>
      <c r="D126" s="39" t="s">
        <v>137</v>
      </c>
      <c r="E126" s="39">
        <v>0.24099999999999999</v>
      </c>
      <c r="F126" s="39"/>
      <c r="G126" s="39">
        <v>683.82241960580905</v>
      </c>
    </row>
    <row r="127" spans="1:7">
      <c r="A127" s="40">
        <v>2013</v>
      </c>
      <c r="B127" s="40" t="s">
        <v>165</v>
      </c>
      <c r="C127" s="40" t="s">
        <v>43</v>
      </c>
      <c r="D127" s="40" t="s">
        <v>138</v>
      </c>
      <c r="E127" s="40">
        <v>0.19500000000000001</v>
      </c>
      <c r="F127" s="40"/>
      <c r="G127" s="40">
        <v>668.44771634615404</v>
      </c>
    </row>
    <row r="128" spans="1:7">
      <c r="A128" s="39">
        <v>2013</v>
      </c>
      <c r="B128" s="39" t="s">
        <v>165</v>
      </c>
      <c r="C128" s="39" t="s">
        <v>44</v>
      </c>
      <c r="D128" s="39" t="s">
        <v>118</v>
      </c>
      <c r="E128" s="39">
        <v>0.113</v>
      </c>
      <c r="F128" s="39"/>
      <c r="G128" s="39">
        <v>3851.5329092920401</v>
      </c>
    </row>
    <row r="129" spans="1:7">
      <c r="A129" s="40">
        <v>2013</v>
      </c>
      <c r="B129" s="40" t="s">
        <v>165</v>
      </c>
      <c r="C129" s="40" t="s">
        <v>44</v>
      </c>
      <c r="D129" s="40" t="s">
        <v>117</v>
      </c>
      <c r="E129" s="40">
        <v>4.1000000000000002E-2</v>
      </c>
      <c r="F129" s="40"/>
      <c r="G129" s="40">
        <v>1705.7934451219501</v>
      </c>
    </row>
    <row r="130" spans="1:7">
      <c r="A130" s="39">
        <v>2013</v>
      </c>
      <c r="B130" s="39" t="s">
        <v>165</v>
      </c>
      <c r="C130" s="39" t="s">
        <v>44</v>
      </c>
      <c r="D130" s="39" t="s">
        <v>133</v>
      </c>
      <c r="E130" s="39">
        <v>7.2999999999999995E-2</v>
      </c>
      <c r="F130" s="39"/>
      <c r="G130" s="39">
        <v>848.47891695205499</v>
      </c>
    </row>
    <row r="131" spans="1:7">
      <c r="A131" s="40">
        <v>2013</v>
      </c>
      <c r="B131" s="40" t="s">
        <v>165</v>
      </c>
      <c r="C131" s="40" t="s">
        <v>44</v>
      </c>
      <c r="D131" s="40" t="s">
        <v>134</v>
      </c>
      <c r="E131" s="40">
        <v>0.10100000000000001</v>
      </c>
      <c r="F131" s="40"/>
      <c r="G131" s="40">
        <v>1078.5035581683201</v>
      </c>
    </row>
    <row r="132" spans="1:7">
      <c r="A132" s="39">
        <v>2013</v>
      </c>
      <c r="B132" s="39" t="s">
        <v>165</v>
      </c>
      <c r="C132" s="39" t="s">
        <v>44</v>
      </c>
      <c r="D132" s="39" t="s">
        <v>135</v>
      </c>
      <c r="E132" s="39">
        <v>0.14000000000000001</v>
      </c>
      <c r="F132" s="39"/>
      <c r="G132" s="39">
        <v>739.83872767857099</v>
      </c>
    </row>
    <row r="133" spans="1:7">
      <c r="A133" s="40">
        <v>2013</v>
      </c>
      <c r="B133" s="40" t="s">
        <v>165</v>
      </c>
      <c r="C133" s="40" t="s">
        <v>44</v>
      </c>
      <c r="D133" s="40" t="s">
        <v>136</v>
      </c>
      <c r="E133" s="40">
        <v>0.17599999999999999</v>
      </c>
      <c r="F133" s="40"/>
      <c r="G133" s="40">
        <v>890.08429509943198</v>
      </c>
    </row>
    <row r="134" spans="1:7">
      <c r="A134" s="39">
        <v>2013</v>
      </c>
      <c r="B134" s="39" t="s">
        <v>165</v>
      </c>
      <c r="C134" s="39" t="s">
        <v>44</v>
      </c>
      <c r="D134" s="39" t="s">
        <v>137</v>
      </c>
      <c r="E134" s="39">
        <v>0.21</v>
      </c>
      <c r="F134" s="39"/>
      <c r="G134" s="39">
        <v>661.24869791666697</v>
      </c>
    </row>
    <row r="135" spans="1:7">
      <c r="A135" s="40">
        <v>2013</v>
      </c>
      <c r="B135" s="40" t="s">
        <v>165</v>
      </c>
      <c r="C135" s="40" t="s">
        <v>44</v>
      </c>
      <c r="D135" s="40" t="s">
        <v>138</v>
      </c>
      <c r="E135" s="40">
        <v>0.193</v>
      </c>
      <c r="F135" s="40"/>
      <c r="G135" s="40">
        <v>532.57942033678796</v>
      </c>
    </row>
    <row r="136" spans="1:7">
      <c r="A136" s="39">
        <v>2007</v>
      </c>
      <c r="B136" s="39" t="s">
        <v>165</v>
      </c>
      <c r="C136" s="39" t="s">
        <v>43</v>
      </c>
      <c r="D136" s="39" t="s">
        <v>118</v>
      </c>
      <c r="E136" s="39">
        <v>0.161</v>
      </c>
      <c r="F136" s="39"/>
      <c r="G136" s="39">
        <v>1909.8788819875799</v>
      </c>
    </row>
    <row r="137" spans="1:7">
      <c r="A137" s="40">
        <v>2007</v>
      </c>
      <c r="B137" s="40" t="s">
        <v>165</v>
      </c>
      <c r="C137" s="40" t="s">
        <v>43</v>
      </c>
      <c r="D137" s="40" t="s">
        <v>117</v>
      </c>
      <c r="E137" s="40">
        <v>5.7000000000000002E-2</v>
      </c>
      <c r="F137" s="40"/>
      <c r="G137" s="40">
        <v>981.84388706140305</v>
      </c>
    </row>
    <row r="138" spans="1:7">
      <c r="A138" s="39">
        <v>2007</v>
      </c>
      <c r="B138" s="39" t="s">
        <v>165</v>
      </c>
      <c r="C138" s="39" t="s">
        <v>43</v>
      </c>
      <c r="D138" s="39" t="s">
        <v>133</v>
      </c>
      <c r="E138" s="39">
        <v>0.11799999999999999</v>
      </c>
      <c r="F138" s="39"/>
      <c r="G138" s="39">
        <v>727.52529131355902</v>
      </c>
    </row>
    <row r="139" spans="1:7">
      <c r="A139" s="40">
        <v>2007</v>
      </c>
      <c r="B139" s="40" t="s">
        <v>165</v>
      </c>
      <c r="C139" s="40" t="s">
        <v>43</v>
      </c>
      <c r="D139" s="40" t="s">
        <v>134</v>
      </c>
      <c r="E139" s="40">
        <v>0.19900000000000001</v>
      </c>
      <c r="F139" s="40"/>
      <c r="G139" s="40">
        <v>498.05888819095497</v>
      </c>
    </row>
    <row r="140" spans="1:7">
      <c r="A140" s="39">
        <v>2007</v>
      </c>
      <c r="B140" s="39" t="s">
        <v>165</v>
      </c>
      <c r="C140" s="39" t="s">
        <v>43</v>
      </c>
      <c r="D140" s="39" t="s">
        <v>135</v>
      </c>
      <c r="E140" s="39">
        <v>0.26</v>
      </c>
      <c r="F140" s="39"/>
      <c r="G140" s="39">
        <v>362.52073317307702</v>
      </c>
    </row>
    <row r="141" spans="1:7">
      <c r="A141" s="40">
        <v>2007</v>
      </c>
      <c r="B141" s="40" t="s">
        <v>165</v>
      </c>
      <c r="C141" s="40" t="s">
        <v>43</v>
      </c>
      <c r="D141" s="40" t="s">
        <v>136</v>
      </c>
      <c r="E141" s="40">
        <v>0.249</v>
      </c>
      <c r="F141" s="40"/>
      <c r="G141" s="40">
        <v>376.76113830321299</v>
      </c>
    </row>
    <row r="142" spans="1:7">
      <c r="A142" s="39">
        <v>2007</v>
      </c>
      <c r="B142" s="39" t="s">
        <v>165</v>
      </c>
      <c r="C142" s="39" t="s">
        <v>43</v>
      </c>
      <c r="D142" s="39" t="s">
        <v>137</v>
      </c>
      <c r="E142" s="39">
        <v>0.183</v>
      </c>
      <c r="F142" s="39"/>
      <c r="G142" s="39">
        <v>367.546191939891</v>
      </c>
    </row>
    <row r="143" spans="1:7">
      <c r="A143" s="40">
        <v>2007</v>
      </c>
      <c r="B143" s="40" t="s">
        <v>165</v>
      </c>
      <c r="C143" s="40" t="s">
        <v>43</v>
      </c>
      <c r="D143" s="40" t="s">
        <v>138</v>
      </c>
      <c r="E143" s="40">
        <v>0.121</v>
      </c>
      <c r="F143" s="40"/>
      <c r="G143" s="40">
        <v>290.21211583161198</v>
      </c>
    </row>
    <row r="144" spans="1:7">
      <c r="A144" s="39">
        <v>2007</v>
      </c>
      <c r="B144" s="39" t="s">
        <v>165</v>
      </c>
      <c r="C144" s="39" t="s">
        <v>44</v>
      </c>
      <c r="D144" s="39" t="s">
        <v>118</v>
      </c>
      <c r="E144" s="39">
        <v>0.123</v>
      </c>
      <c r="F144" s="39"/>
      <c r="G144" s="39">
        <v>2282.20350609756</v>
      </c>
    </row>
    <row r="145" spans="1:7">
      <c r="A145" s="40">
        <v>2007</v>
      </c>
      <c r="B145" s="40" t="s">
        <v>165</v>
      </c>
      <c r="C145" s="40" t="s">
        <v>44</v>
      </c>
      <c r="D145" s="40" t="s">
        <v>117</v>
      </c>
      <c r="E145" s="40">
        <v>3.5999999999999997E-2</v>
      </c>
      <c r="F145" s="40"/>
      <c r="G145" s="40">
        <v>695.32666015625</v>
      </c>
    </row>
    <row r="146" spans="1:7">
      <c r="A146" s="39">
        <v>2007</v>
      </c>
      <c r="B146" s="39" t="s">
        <v>165</v>
      </c>
      <c r="C146" s="39" t="s">
        <v>44</v>
      </c>
      <c r="D146" s="39" t="s">
        <v>133</v>
      </c>
      <c r="E146" s="39">
        <v>5.1999999999999998E-2</v>
      </c>
      <c r="F146" s="39"/>
      <c r="G146" s="39">
        <v>593.327524038462</v>
      </c>
    </row>
    <row r="147" spans="1:7">
      <c r="A147" s="40">
        <v>2007</v>
      </c>
      <c r="B147" s="40" t="s">
        <v>165</v>
      </c>
      <c r="C147" s="40" t="s">
        <v>44</v>
      </c>
      <c r="D147" s="40" t="s">
        <v>134</v>
      </c>
      <c r="E147" s="40">
        <v>0.114</v>
      </c>
      <c r="F147" s="40"/>
      <c r="G147" s="40">
        <v>645.07973547149095</v>
      </c>
    </row>
    <row r="148" spans="1:7">
      <c r="A148" s="39">
        <v>2007</v>
      </c>
      <c r="B148" s="39" t="s">
        <v>165</v>
      </c>
      <c r="C148" s="39" t="s">
        <v>44</v>
      </c>
      <c r="D148" s="39" t="s">
        <v>135</v>
      </c>
      <c r="E148" s="39">
        <v>0.17100000000000001</v>
      </c>
      <c r="F148" s="39"/>
      <c r="G148" s="39">
        <v>565.51987390350905</v>
      </c>
    </row>
    <row r="149" spans="1:7">
      <c r="A149" s="40">
        <v>2007</v>
      </c>
      <c r="B149" s="40" t="s">
        <v>165</v>
      </c>
      <c r="C149" s="40" t="s">
        <v>44</v>
      </c>
      <c r="D149" s="40" t="s">
        <v>136</v>
      </c>
      <c r="E149" s="40">
        <v>0.224</v>
      </c>
      <c r="F149" s="40"/>
      <c r="G149" s="40">
        <v>395.16448102678601</v>
      </c>
    </row>
    <row r="150" spans="1:7">
      <c r="A150" s="39">
        <v>2007</v>
      </c>
      <c r="B150" s="39" t="s">
        <v>165</v>
      </c>
      <c r="C150" s="39" t="s">
        <v>44</v>
      </c>
      <c r="D150" s="39" t="s">
        <v>137</v>
      </c>
      <c r="E150" s="39">
        <v>0.24099999999999999</v>
      </c>
      <c r="F150" s="39"/>
      <c r="G150" s="39">
        <v>267.871628630705</v>
      </c>
    </row>
    <row r="151" spans="1:7">
      <c r="A151" s="40">
        <v>2007</v>
      </c>
      <c r="B151" s="40" t="s">
        <v>165</v>
      </c>
      <c r="C151" s="40" t="s">
        <v>44</v>
      </c>
      <c r="D151" s="40" t="s">
        <v>138</v>
      </c>
      <c r="E151" s="40">
        <v>0.186</v>
      </c>
      <c r="F151" s="40"/>
      <c r="G151" s="40">
        <v>213.657552083333</v>
      </c>
    </row>
    <row r="152" spans="1:7">
      <c r="A152" s="39">
        <v>2002</v>
      </c>
      <c r="B152" s="39" t="s">
        <v>165</v>
      </c>
      <c r="C152" s="39" t="s">
        <v>43</v>
      </c>
      <c r="D152" s="39" t="s">
        <v>118</v>
      </c>
      <c r="E152" s="39">
        <v>0.17799999999999999</v>
      </c>
      <c r="F152" s="39"/>
      <c r="G152" s="39">
        <v>228.630596032303</v>
      </c>
    </row>
    <row r="153" spans="1:7">
      <c r="A153" s="40">
        <v>2002</v>
      </c>
      <c r="B153" s="40" t="s">
        <v>165</v>
      </c>
      <c r="C153" s="40" t="s">
        <v>43</v>
      </c>
      <c r="D153" s="40" t="s">
        <v>117</v>
      </c>
      <c r="E153" s="40">
        <v>6.6000000000000003E-2</v>
      </c>
      <c r="F153" s="40"/>
      <c r="G153" s="40">
        <v>521.60765861742402</v>
      </c>
    </row>
    <row r="154" spans="1:7">
      <c r="A154" s="39">
        <v>2002</v>
      </c>
      <c r="B154" s="39" t="s">
        <v>165</v>
      </c>
      <c r="C154" s="39" t="s">
        <v>43</v>
      </c>
      <c r="D154" s="39" t="s">
        <v>133</v>
      </c>
      <c r="E154" s="39">
        <v>0.16300000000000001</v>
      </c>
      <c r="F154" s="39"/>
      <c r="G154" s="39">
        <v>185.711189129601</v>
      </c>
    </row>
    <row r="155" spans="1:7">
      <c r="A155" s="40">
        <v>2002</v>
      </c>
      <c r="B155" s="40" t="s">
        <v>165</v>
      </c>
      <c r="C155" s="40" t="s">
        <v>43</v>
      </c>
      <c r="D155" s="40" t="s">
        <v>134</v>
      </c>
      <c r="E155" s="40">
        <v>0.251</v>
      </c>
      <c r="F155" s="40"/>
      <c r="G155" s="40">
        <v>87.631707544820699</v>
      </c>
    </row>
    <row r="156" spans="1:7">
      <c r="A156" s="39">
        <v>2002</v>
      </c>
      <c r="B156" s="39" t="s">
        <v>165</v>
      </c>
      <c r="C156" s="39" t="s">
        <v>43</v>
      </c>
      <c r="D156" s="39" t="s">
        <v>135</v>
      </c>
      <c r="E156" s="39">
        <v>0.29399999999999998</v>
      </c>
      <c r="F156" s="39"/>
      <c r="G156" s="39">
        <v>107.614158163265</v>
      </c>
    </row>
    <row r="157" spans="1:7">
      <c r="A157" s="40">
        <v>2002</v>
      </c>
      <c r="B157" s="40" t="s">
        <v>165</v>
      </c>
      <c r="C157" s="40" t="s">
        <v>43</v>
      </c>
      <c r="D157" s="40" t="s">
        <v>136</v>
      </c>
      <c r="E157" s="40">
        <v>0.22600000000000001</v>
      </c>
      <c r="F157" s="40"/>
      <c r="G157" s="40">
        <v>61.816846999446902</v>
      </c>
    </row>
    <row r="158" spans="1:7">
      <c r="A158" s="39">
        <v>2002</v>
      </c>
      <c r="B158" s="39" t="s">
        <v>165</v>
      </c>
      <c r="C158" s="39" t="s">
        <v>43</v>
      </c>
      <c r="D158" s="39" t="s">
        <v>137</v>
      </c>
      <c r="E158" s="39">
        <v>0.17299999999999999</v>
      </c>
      <c r="F158" s="39"/>
      <c r="G158" s="39">
        <v>94.086270547326606</v>
      </c>
    </row>
    <row r="159" spans="1:7">
      <c r="A159" s="40">
        <v>2002</v>
      </c>
      <c r="B159" s="40" t="s">
        <v>165</v>
      </c>
      <c r="C159" s="40" t="s">
        <v>43</v>
      </c>
      <c r="D159" s="40" t="s">
        <v>138</v>
      </c>
      <c r="E159" s="40">
        <v>0.13600000000000001</v>
      </c>
      <c r="F159" s="40"/>
      <c r="G159" s="40">
        <v>129.76413143382399</v>
      </c>
    </row>
    <row r="160" spans="1:7">
      <c r="A160" s="39">
        <v>2002</v>
      </c>
      <c r="B160" s="39" t="s">
        <v>165</v>
      </c>
      <c r="C160" s="39" t="s">
        <v>44</v>
      </c>
      <c r="D160" s="39" t="s">
        <v>118</v>
      </c>
      <c r="E160" s="39">
        <v>0.129</v>
      </c>
      <c r="F160" s="39"/>
      <c r="G160" s="39">
        <v>227.70983224321699</v>
      </c>
    </row>
    <row r="161" spans="1:7">
      <c r="A161" s="40">
        <v>2002</v>
      </c>
      <c r="B161" s="40" t="s">
        <v>165</v>
      </c>
      <c r="C161" s="40" t="s">
        <v>44</v>
      </c>
      <c r="D161" s="40" t="s">
        <v>117</v>
      </c>
      <c r="E161" s="40">
        <v>1.9E-2</v>
      </c>
      <c r="F161" s="40"/>
      <c r="G161" s="40">
        <v>530.13019120065803</v>
      </c>
    </row>
    <row r="162" spans="1:7">
      <c r="A162" s="39">
        <v>2002</v>
      </c>
      <c r="B162" s="39" t="s">
        <v>165</v>
      </c>
      <c r="C162" s="39" t="s">
        <v>44</v>
      </c>
      <c r="D162" s="39" t="s">
        <v>133</v>
      </c>
      <c r="E162" s="39">
        <v>4.3999999999999997E-2</v>
      </c>
      <c r="F162" s="39"/>
      <c r="G162" s="39">
        <v>377.80513139204498</v>
      </c>
    </row>
    <row r="163" spans="1:7">
      <c r="A163" s="40">
        <v>2002</v>
      </c>
      <c r="B163" s="40" t="s">
        <v>165</v>
      </c>
      <c r="C163" s="40" t="s">
        <v>44</v>
      </c>
      <c r="D163" s="40" t="s">
        <v>134</v>
      </c>
      <c r="E163" s="40">
        <v>0.15</v>
      </c>
      <c r="F163" s="40"/>
      <c r="G163" s="40">
        <v>135.532552083333</v>
      </c>
    </row>
    <row r="164" spans="1:7">
      <c r="A164" s="39">
        <v>2002</v>
      </c>
      <c r="B164" s="39" t="s">
        <v>165</v>
      </c>
      <c r="C164" s="39" t="s">
        <v>44</v>
      </c>
      <c r="D164" s="39" t="s">
        <v>135</v>
      </c>
      <c r="E164" s="39">
        <v>0.20499999999999999</v>
      </c>
      <c r="F164" s="39"/>
      <c r="G164" s="39">
        <v>50.624213986280502</v>
      </c>
    </row>
    <row r="165" spans="1:7">
      <c r="A165" s="40">
        <v>2002</v>
      </c>
      <c r="B165" s="40" t="s">
        <v>165</v>
      </c>
      <c r="C165" s="40" t="s">
        <v>44</v>
      </c>
      <c r="D165" s="40" t="s">
        <v>136</v>
      </c>
      <c r="E165" s="40">
        <v>0.224</v>
      </c>
      <c r="F165" s="40"/>
      <c r="G165" s="40">
        <v>84.184910365513403</v>
      </c>
    </row>
    <row r="166" spans="1:7">
      <c r="A166" s="39">
        <v>2002</v>
      </c>
      <c r="B166" s="39" t="s">
        <v>165</v>
      </c>
      <c r="C166" s="39" t="s">
        <v>44</v>
      </c>
      <c r="D166" s="39" t="s">
        <v>137</v>
      </c>
      <c r="E166" s="39">
        <v>0.20499999999999999</v>
      </c>
      <c r="F166" s="39"/>
      <c r="G166" s="39">
        <v>72.924375952743901</v>
      </c>
    </row>
    <row r="167" spans="1:7">
      <c r="A167" s="40">
        <v>2002</v>
      </c>
      <c r="B167" s="40" t="s">
        <v>165</v>
      </c>
      <c r="C167" s="40" t="s">
        <v>44</v>
      </c>
      <c r="D167" s="40" t="s">
        <v>138</v>
      </c>
      <c r="E167" s="40">
        <v>0.20200000000000001</v>
      </c>
      <c r="F167" s="40"/>
      <c r="G167" s="40">
        <v>58.340201500618797</v>
      </c>
    </row>
    <row r="168" spans="1:7">
      <c r="A168" s="39"/>
      <c r="B168" s="39"/>
      <c r="C168" s="39"/>
      <c r="D168" s="39"/>
      <c r="E168" s="39"/>
      <c r="F168" s="39"/>
      <c r="G168" s="39"/>
    </row>
    <row r="169" spans="1:7">
      <c r="A169" s="40"/>
      <c r="B169" s="40"/>
      <c r="C169" s="40"/>
      <c r="D169" s="40"/>
      <c r="E169" s="40"/>
      <c r="F169" s="40"/>
      <c r="G169" s="40"/>
    </row>
    <row r="170" spans="1:7">
      <c r="A170" s="39"/>
      <c r="B170" s="39"/>
      <c r="C170" s="39"/>
      <c r="D170" s="39"/>
      <c r="E170" s="39"/>
      <c r="F170" s="39"/>
      <c r="G170" s="39"/>
    </row>
    <row r="171" spans="1:7">
      <c r="A171" s="40"/>
      <c r="B171" s="40"/>
      <c r="C171" s="40"/>
      <c r="D171" s="40"/>
      <c r="E171" s="40"/>
      <c r="F171" s="40"/>
      <c r="G171" s="40"/>
    </row>
    <row r="172" spans="1:7">
      <c r="A172" s="39"/>
      <c r="B172" s="39"/>
      <c r="C172" s="39"/>
      <c r="D172" s="39"/>
      <c r="E172" s="39"/>
      <c r="F172" s="39"/>
      <c r="G172" s="39"/>
    </row>
    <row r="173" spans="1:7">
      <c r="A173" s="40"/>
      <c r="B173" s="40"/>
      <c r="C173" s="40"/>
      <c r="D173" s="40"/>
      <c r="E173" s="40"/>
      <c r="F173" s="40"/>
      <c r="G173" s="40"/>
    </row>
    <row r="174" spans="1:7">
      <c r="A174" s="39"/>
      <c r="B174" s="39"/>
      <c r="C174" s="39"/>
      <c r="D174" s="39"/>
      <c r="E174" s="39"/>
      <c r="F174" s="39"/>
      <c r="G174" s="39"/>
    </row>
    <row r="175" spans="1:7">
      <c r="A175" s="40"/>
      <c r="B175" s="40"/>
      <c r="C175" s="40"/>
      <c r="D175" s="40"/>
      <c r="E175" s="40"/>
      <c r="F175" s="40"/>
      <c r="G175" s="40"/>
    </row>
    <row r="176" spans="1:7">
      <c r="A176" s="39"/>
      <c r="B176" s="39"/>
      <c r="C176" s="39"/>
      <c r="D176" s="39"/>
      <c r="E176" s="39"/>
      <c r="F176" s="39"/>
      <c r="G176" s="39"/>
    </row>
    <row r="177" spans="1:7">
      <c r="A177" s="40"/>
      <c r="B177" s="40"/>
      <c r="C177" s="40"/>
      <c r="D177" s="40"/>
      <c r="E177" s="40"/>
      <c r="F177" s="40"/>
      <c r="G177" s="40"/>
    </row>
    <row r="178" spans="1:7">
      <c r="A178" s="39"/>
      <c r="B178" s="39"/>
      <c r="C178" s="39"/>
      <c r="D178" s="39"/>
      <c r="E178" s="39"/>
      <c r="F178" s="39"/>
      <c r="G178" s="39"/>
    </row>
    <row r="179" spans="1:7">
      <c r="A179" s="40"/>
      <c r="B179" s="40"/>
      <c r="C179" s="40"/>
      <c r="D179" s="40"/>
      <c r="E179" s="40"/>
      <c r="F179" s="40"/>
      <c r="G179" s="40"/>
    </row>
    <row r="180" spans="1:7">
      <c r="A180" s="39"/>
      <c r="B180" s="39"/>
      <c r="C180" s="39"/>
      <c r="D180" s="39"/>
      <c r="E180" s="39"/>
      <c r="F180" s="39"/>
      <c r="G180" s="39"/>
    </row>
    <row r="181" spans="1:7">
      <c r="A181" s="40"/>
      <c r="B181" s="40"/>
      <c r="C181" s="40"/>
      <c r="D181" s="40"/>
      <c r="E181" s="40"/>
      <c r="F181" s="40"/>
      <c r="G181" s="40"/>
    </row>
    <row r="182" spans="1:7">
      <c r="A182" s="39"/>
      <c r="B182" s="39"/>
      <c r="C182" s="39"/>
      <c r="D182" s="39"/>
      <c r="E182" s="39"/>
      <c r="F182" s="39"/>
      <c r="G182" s="39"/>
    </row>
    <row r="183" spans="1:7">
      <c r="A183" s="40"/>
      <c r="B183" s="40"/>
      <c r="C183" s="40"/>
      <c r="D183" s="40"/>
      <c r="E183" s="40"/>
      <c r="F183" s="40"/>
      <c r="G183" s="40"/>
    </row>
    <row r="184" spans="1:7">
      <c r="A184" s="39"/>
      <c r="B184" s="39"/>
      <c r="C184" s="39"/>
      <c r="D184" s="39"/>
      <c r="E184" s="39"/>
      <c r="F184" s="39"/>
      <c r="G184" s="39"/>
    </row>
    <row r="185" spans="1:7">
      <c r="A185" s="40"/>
      <c r="B185" s="40"/>
      <c r="C185" s="40"/>
      <c r="D185" s="40"/>
      <c r="E185" s="40"/>
      <c r="F185" s="40"/>
      <c r="G185" s="40"/>
    </row>
    <row r="186" spans="1:7">
      <c r="A186" s="39"/>
      <c r="B186" s="39"/>
      <c r="C186" s="39"/>
      <c r="D186" s="39"/>
      <c r="E186" s="39"/>
      <c r="F186" s="39"/>
      <c r="G186" s="39"/>
    </row>
    <row r="187" spans="1:7">
      <c r="A187" s="40"/>
      <c r="B187" s="40"/>
      <c r="C187" s="40"/>
      <c r="D187" s="40"/>
      <c r="E187" s="40"/>
      <c r="F187" s="40"/>
      <c r="G187" s="40"/>
    </row>
    <row r="188" spans="1:7">
      <c r="A188" s="39"/>
      <c r="B188" s="39"/>
      <c r="C188" s="39"/>
      <c r="D188" s="39"/>
      <c r="E188" s="39"/>
      <c r="F188" s="39"/>
      <c r="G188" s="39"/>
    </row>
    <row r="189" spans="1:7">
      <c r="A189" s="40"/>
      <c r="B189" s="40"/>
      <c r="C189" s="40"/>
      <c r="D189" s="40"/>
      <c r="E189" s="40"/>
      <c r="F189" s="40"/>
      <c r="G189" s="40"/>
    </row>
    <row r="190" spans="1:7">
      <c r="A190" s="39"/>
      <c r="B190" s="39"/>
      <c r="C190" s="39"/>
      <c r="D190" s="39"/>
      <c r="E190" s="39"/>
      <c r="F190" s="39"/>
      <c r="G190" s="39"/>
    </row>
    <row r="191" spans="1:7">
      <c r="A191" s="40"/>
      <c r="B191" s="40"/>
      <c r="C191" s="40"/>
      <c r="D191" s="40"/>
      <c r="E191" s="40"/>
      <c r="F191" s="40"/>
      <c r="G191" s="40"/>
    </row>
    <row r="192" spans="1:7">
      <c r="A192" s="39"/>
      <c r="B192" s="39"/>
      <c r="C192" s="39"/>
      <c r="D192" s="39"/>
      <c r="E192" s="39"/>
      <c r="F192" s="39"/>
      <c r="G192" s="39"/>
    </row>
    <row r="193" spans="1:7">
      <c r="A193" s="40"/>
      <c r="B193" s="40"/>
      <c r="C193" s="40"/>
      <c r="D193" s="40"/>
      <c r="E193" s="40"/>
      <c r="F193" s="40"/>
      <c r="G193" s="40"/>
    </row>
    <row r="194" spans="1:7">
      <c r="A194" s="39"/>
      <c r="B194" s="39"/>
      <c r="C194" s="39"/>
      <c r="D194" s="39"/>
      <c r="E194" s="39"/>
      <c r="F194" s="39"/>
      <c r="G194" s="39"/>
    </row>
    <row r="195" spans="1:7">
      <c r="A195" s="40"/>
      <c r="B195" s="40"/>
      <c r="C195" s="40"/>
      <c r="D195" s="40"/>
      <c r="E195" s="40"/>
      <c r="F195" s="40"/>
      <c r="G195" s="40"/>
    </row>
    <row r="196" spans="1:7">
      <c r="A196" s="39"/>
      <c r="B196" s="39"/>
      <c r="C196" s="39"/>
      <c r="D196" s="39"/>
      <c r="E196" s="39"/>
      <c r="F196" s="39"/>
      <c r="G196" s="39"/>
    </row>
    <row r="197" spans="1:7">
      <c r="A197" s="40"/>
      <c r="B197" s="40"/>
      <c r="C197" s="40"/>
      <c r="D197" s="40"/>
      <c r="E197" s="40"/>
      <c r="F197" s="40"/>
      <c r="G197" s="40"/>
    </row>
    <row r="198" spans="1:7">
      <c r="A198" s="39"/>
      <c r="B198" s="39"/>
      <c r="C198" s="39"/>
      <c r="D198" s="39"/>
      <c r="E198" s="39"/>
      <c r="F198" s="39"/>
      <c r="G198" s="39"/>
    </row>
    <row r="199" spans="1:7">
      <c r="A199" s="40"/>
      <c r="B199" s="40"/>
      <c r="C199" s="40"/>
      <c r="D199" s="40"/>
      <c r="E199" s="40"/>
      <c r="F199" s="40"/>
      <c r="G199" s="40"/>
    </row>
    <row r="200" spans="1:7">
      <c r="A200" s="39"/>
      <c r="B200" s="39"/>
      <c r="C200" s="39"/>
      <c r="D200" s="39"/>
      <c r="E200" s="39"/>
      <c r="F200" s="39"/>
      <c r="G200" s="39"/>
    </row>
    <row r="201" spans="1:7">
      <c r="A201" s="40"/>
      <c r="B201" s="40"/>
      <c r="C201" s="40"/>
      <c r="D201" s="40"/>
      <c r="E201" s="40"/>
      <c r="F201" s="40"/>
      <c r="G201" s="40"/>
    </row>
    <row r="202" spans="1:7">
      <c r="A202" s="39"/>
      <c r="B202" s="39"/>
      <c r="C202" s="39"/>
      <c r="D202" s="39"/>
      <c r="E202" s="39"/>
      <c r="F202" s="39"/>
      <c r="G202" s="39"/>
    </row>
    <row r="203" spans="1:7">
      <c r="A203" s="40"/>
      <c r="B203" s="40"/>
      <c r="C203" s="40"/>
      <c r="D203" s="40"/>
      <c r="E203" s="40"/>
      <c r="F203" s="40"/>
      <c r="G203" s="40"/>
    </row>
    <row r="204" spans="1:7">
      <c r="A204" s="39"/>
      <c r="B204" s="39"/>
      <c r="C204" s="39"/>
      <c r="D204" s="39"/>
      <c r="E204" s="39"/>
      <c r="F204" s="39"/>
      <c r="G204" s="39"/>
    </row>
    <row r="205" spans="1:7">
      <c r="A205" s="40"/>
      <c r="B205" s="40"/>
      <c r="C205" s="40"/>
      <c r="D205" s="40"/>
      <c r="E205" s="40"/>
      <c r="F205" s="40"/>
      <c r="G205" s="40"/>
    </row>
    <row r="206" spans="1:7">
      <c r="A206" s="39"/>
      <c r="B206" s="39"/>
      <c r="C206" s="39"/>
      <c r="D206" s="39"/>
      <c r="E206" s="39"/>
      <c r="F206" s="39"/>
      <c r="G206" s="39"/>
    </row>
    <row r="207" spans="1:7">
      <c r="A207" s="40"/>
      <c r="B207" s="40"/>
      <c r="C207" s="40"/>
      <c r="D207" s="40"/>
      <c r="E207" s="40"/>
      <c r="F207" s="40"/>
      <c r="G207" s="40"/>
    </row>
    <row r="208" spans="1:7">
      <c r="A208" s="39"/>
      <c r="B208" s="39"/>
      <c r="C208" s="39"/>
      <c r="D208" s="39"/>
      <c r="E208" s="39"/>
      <c r="F208" s="39"/>
      <c r="G208" s="39"/>
    </row>
    <row r="209" spans="1:7">
      <c r="A209" s="40"/>
      <c r="B209" s="40"/>
      <c r="C209" s="40"/>
      <c r="D209" s="40"/>
      <c r="E209" s="40"/>
      <c r="F209" s="40"/>
      <c r="G209" s="40"/>
    </row>
    <row r="210" spans="1:7">
      <c r="A210" s="39"/>
      <c r="B210" s="39"/>
      <c r="C210" s="39"/>
      <c r="D210" s="39"/>
      <c r="E210" s="39"/>
      <c r="F210" s="39"/>
      <c r="G210" s="39"/>
    </row>
    <row r="211" spans="1:7">
      <c r="A211" s="40"/>
      <c r="B211" s="40"/>
      <c r="C211" s="40"/>
      <c r="D211" s="40"/>
      <c r="E211" s="40"/>
      <c r="F211" s="40"/>
      <c r="G211" s="40"/>
    </row>
    <row r="212" spans="1:7">
      <c r="A212" s="39"/>
      <c r="B212" s="39"/>
      <c r="C212" s="39"/>
      <c r="D212" s="39"/>
      <c r="E212" s="39"/>
      <c r="F212" s="39"/>
      <c r="G212" s="39"/>
    </row>
    <row r="213" spans="1:7">
      <c r="A213" s="40"/>
      <c r="B213" s="40"/>
      <c r="C213" s="40"/>
      <c r="D213" s="40"/>
      <c r="E213" s="40"/>
      <c r="F213" s="40"/>
      <c r="G213" s="40"/>
    </row>
    <row r="214" spans="1:7">
      <c r="A214" s="39"/>
      <c r="B214" s="39"/>
      <c r="C214" s="39"/>
      <c r="D214" s="39"/>
      <c r="E214" s="39"/>
      <c r="F214" s="39"/>
      <c r="G214" s="39"/>
    </row>
    <row r="215" spans="1:7">
      <c r="A215" s="40"/>
      <c r="B215" s="40"/>
      <c r="C215" s="40"/>
      <c r="D215" s="40"/>
      <c r="E215" s="40"/>
      <c r="F215" s="40"/>
      <c r="G215" s="40"/>
    </row>
    <row r="216" spans="1:7">
      <c r="A216" s="39"/>
      <c r="B216" s="39"/>
      <c r="C216" s="39"/>
      <c r="D216" s="39"/>
      <c r="E216" s="39"/>
      <c r="F216" s="39"/>
      <c r="G216" s="39"/>
    </row>
    <row r="217" spans="1:7">
      <c r="A217" s="40"/>
      <c r="B217" s="40"/>
      <c r="C217" s="40"/>
      <c r="D217" s="40"/>
      <c r="E217" s="40"/>
      <c r="F217" s="40"/>
      <c r="G217" s="40"/>
    </row>
    <row r="218" spans="1:7">
      <c r="A218" s="39"/>
      <c r="B218" s="39"/>
      <c r="C218" s="39"/>
      <c r="D218" s="39"/>
      <c r="E218" s="39"/>
      <c r="F218" s="39"/>
      <c r="G218" s="39"/>
    </row>
    <row r="219" spans="1:7">
      <c r="A219" s="40"/>
      <c r="B219" s="40"/>
      <c r="C219" s="40"/>
      <c r="D219" s="40"/>
      <c r="E219" s="40"/>
      <c r="F219" s="40"/>
      <c r="G219" s="40"/>
    </row>
    <row r="220" spans="1:7">
      <c r="A220" s="39"/>
      <c r="B220" s="39"/>
      <c r="C220" s="39"/>
      <c r="D220" s="39"/>
      <c r="E220" s="39"/>
      <c r="F220" s="39"/>
      <c r="G220" s="39"/>
    </row>
    <row r="221" spans="1:7">
      <c r="A221" s="40"/>
      <c r="B221" s="40"/>
      <c r="C221" s="40"/>
      <c r="D221" s="40"/>
      <c r="E221" s="40"/>
      <c r="F221" s="40"/>
      <c r="G221" s="40"/>
    </row>
    <row r="222" spans="1:7">
      <c r="A222" s="39"/>
      <c r="B222" s="39"/>
      <c r="C222" s="39"/>
      <c r="D222" s="39"/>
      <c r="E222" s="39"/>
      <c r="F222" s="39"/>
      <c r="G222" s="39"/>
    </row>
    <row r="223" spans="1:7">
      <c r="A223" s="40"/>
      <c r="B223" s="40"/>
      <c r="C223" s="40"/>
      <c r="D223" s="40"/>
      <c r="E223" s="40"/>
      <c r="F223" s="40"/>
      <c r="G223" s="40"/>
    </row>
    <row r="224" spans="1:7">
      <c r="A224" s="39"/>
      <c r="B224" s="39"/>
      <c r="C224" s="39"/>
      <c r="D224" s="39"/>
      <c r="E224" s="39"/>
      <c r="F224" s="39"/>
      <c r="G224" s="39"/>
    </row>
    <row r="225" spans="1:7">
      <c r="A225" s="40"/>
      <c r="B225" s="40"/>
      <c r="C225" s="40"/>
      <c r="D225" s="40"/>
      <c r="E225" s="40"/>
      <c r="F225" s="40"/>
      <c r="G225" s="40"/>
    </row>
    <row r="226" spans="1:7">
      <c r="A226" s="39"/>
      <c r="B226" s="39"/>
      <c r="C226" s="39"/>
      <c r="D226" s="39"/>
      <c r="E226" s="39"/>
      <c r="F226" s="39"/>
      <c r="G226" s="39"/>
    </row>
    <row r="227" spans="1:7">
      <c r="A227" s="40"/>
      <c r="B227" s="40"/>
      <c r="C227" s="40"/>
      <c r="D227" s="40"/>
      <c r="E227" s="40"/>
      <c r="F227" s="40"/>
      <c r="G227" s="40"/>
    </row>
    <row r="228" spans="1:7">
      <c r="A228" s="39"/>
      <c r="B228" s="39"/>
      <c r="C228" s="39"/>
      <c r="D228" s="39"/>
      <c r="E228" s="39"/>
      <c r="F228" s="39"/>
      <c r="G228" s="39"/>
    </row>
    <row r="229" spans="1:7">
      <c r="A229" s="40"/>
      <c r="B229" s="40"/>
      <c r="C229" s="40"/>
      <c r="D229" s="40"/>
      <c r="E229" s="40"/>
      <c r="F229" s="40"/>
      <c r="G229" s="40"/>
    </row>
    <row r="230" spans="1:7">
      <c r="A230" s="39"/>
      <c r="B230" s="39"/>
      <c r="C230" s="39"/>
      <c r="D230" s="39"/>
      <c r="E230" s="39"/>
      <c r="F230" s="39"/>
      <c r="G230" s="39"/>
    </row>
    <row r="231" spans="1:7">
      <c r="A231" s="40"/>
      <c r="B231" s="40"/>
      <c r="C231" s="40"/>
      <c r="D231" s="40"/>
      <c r="E231" s="40"/>
      <c r="F231" s="40"/>
      <c r="G231" s="40"/>
    </row>
    <row r="232" spans="1:7">
      <c r="A232" s="39"/>
      <c r="B232" s="39"/>
      <c r="C232" s="39"/>
      <c r="D232" s="39"/>
      <c r="E232" s="39"/>
      <c r="F232" s="39"/>
      <c r="G232" s="39"/>
    </row>
    <row r="233" spans="1:7">
      <c r="A233" s="40"/>
      <c r="B233" s="40"/>
      <c r="C233" s="40"/>
      <c r="D233" s="40"/>
      <c r="E233" s="40"/>
      <c r="F233" s="40"/>
      <c r="G233" s="40"/>
    </row>
    <row r="234" spans="1:7">
      <c r="A234" s="39"/>
      <c r="B234" s="39"/>
      <c r="C234" s="39"/>
      <c r="D234" s="39"/>
      <c r="E234" s="39"/>
      <c r="F234" s="39"/>
      <c r="G234" s="39"/>
    </row>
    <row r="235" spans="1:7">
      <c r="A235" s="40"/>
      <c r="B235" s="40"/>
      <c r="C235" s="40"/>
      <c r="D235" s="40"/>
      <c r="E235" s="40"/>
      <c r="F235" s="40"/>
      <c r="G235" s="40"/>
    </row>
    <row r="236" spans="1:7">
      <c r="A236" s="39"/>
      <c r="B236" s="39"/>
      <c r="C236" s="39"/>
      <c r="D236" s="39"/>
      <c r="E236" s="39"/>
      <c r="F236" s="39"/>
      <c r="G236" s="39"/>
    </row>
    <row r="237" spans="1:7">
      <c r="A237" s="40"/>
      <c r="B237" s="40"/>
      <c r="C237" s="40"/>
      <c r="D237" s="40"/>
      <c r="E237" s="40"/>
      <c r="F237" s="40"/>
      <c r="G237" s="40"/>
    </row>
    <row r="238" spans="1:7">
      <c r="A238" s="39"/>
      <c r="B238" s="39"/>
      <c r="C238" s="39"/>
      <c r="D238" s="39"/>
      <c r="E238" s="39"/>
      <c r="F238" s="39"/>
      <c r="G238" s="39"/>
    </row>
    <row r="239" spans="1:7">
      <c r="A239" s="40"/>
      <c r="B239" s="40"/>
      <c r="C239" s="40"/>
      <c r="D239" s="40"/>
      <c r="E239" s="40"/>
      <c r="F239" s="40"/>
      <c r="G239" s="40"/>
    </row>
    <row r="240" spans="1:7">
      <c r="A240" s="39"/>
      <c r="B240" s="39"/>
      <c r="C240" s="39"/>
      <c r="D240" s="39"/>
      <c r="E240" s="39"/>
      <c r="F240" s="39"/>
      <c r="G240" s="39"/>
    </row>
    <row r="241" spans="1:7">
      <c r="A241" s="40"/>
      <c r="B241" s="40"/>
      <c r="C241" s="40"/>
      <c r="D241" s="40"/>
      <c r="E241" s="40"/>
      <c r="F241" s="40"/>
      <c r="G241" s="40"/>
    </row>
    <row r="242" spans="1:7">
      <c r="A242" s="39"/>
      <c r="B242" s="39"/>
      <c r="C242" s="39"/>
      <c r="D242" s="39"/>
      <c r="E242" s="39"/>
      <c r="F242" s="39"/>
      <c r="G242" s="39"/>
    </row>
    <row r="243" spans="1:7">
      <c r="A243" s="40"/>
      <c r="B243" s="40"/>
      <c r="C243" s="40"/>
      <c r="D243" s="40"/>
      <c r="E243" s="40"/>
      <c r="F243" s="40"/>
      <c r="G243" s="40"/>
    </row>
    <row r="244" spans="1:7">
      <c r="A244" s="39"/>
      <c r="B244" s="39"/>
      <c r="C244" s="39"/>
      <c r="D244" s="39"/>
      <c r="E244" s="39"/>
      <c r="F244" s="39"/>
      <c r="G244" s="39"/>
    </row>
    <row r="245" spans="1:7">
      <c r="A245" s="40"/>
      <c r="B245" s="40"/>
      <c r="C245" s="40"/>
      <c r="D245" s="40"/>
      <c r="E245" s="40"/>
      <c r="F245" s="40"/>
      <c r="G245" s="40"/>
    </row>
    <row r="246" spans="1:7">
      <c r="A246" s="39"/>
      <c r="B246" s="39"/>
      <c r="C246" s="39"/>
      <c r="D246" s="39"/>
      <c r="E246" s="39"/>
      <c r="F246" s="39"/>
      <c r="G246" s="39"/>
    </row>
    <row r="247" spans="1:7">
      <c r="A247" s="40"/>
      <c r="B247" s="40"/>
      <c r="C247" s="40"/>
      <c r="D247" s="40"/>
      <c r="E247" s="40"/>
      <c r="F247" s="40"/>
      <c r="G247" s="40"/>
    </row>
    <row r="248" spans="1:7">
      <c r="A248" s="39"/>
      <c r="B248" s="39"/>
      <c r="C248" s="39"/>
      <c r="D248" s="39"/>
      <c r="E248" s="39"/>
      <c r="F248" s="39"/>
      <c r="G248" s="39"/>
    </row>
    <row r="249" spans="1:7">
      <c r="A249" s="40"/>
      <c r="B249" s="40"/>
      <c r="C249" s="40"/>
      <c r="D249" s="40"/>
      <c r="E249" s="40"/>
      <c r="F249" s="40"/>
      <c r="G249" s="40"/>
    </row>
    <row r="250" spans="1:7">
      <c r="A250" s="39"/>
      <c r="B250" s="39"/>
      <c r="C250" s="39"/>
      <c r="D250" s="39"/>
      <c r="E250" s="39"/>
      <c r="F250" s="39"/>
      <c r="G250" s="39"/>
    </row>
    <row r="251" spans="1:7">
      <c r="A251" s="40"/>
      <c r="B251" s="40"/>
      <c r="C251" s="40"/>
      <c r="D251" s="40"/>
      <c r="E251" s="40"/>
      <c r="F251" s="40"/>
      <c r="G251" s="40"/>
    </row>
    <row r="252" spans="1:7">
      <c r="A252" s="39"/>
      <c r="B252" s="39"/>
      <c r="C252" s="39"/>
      <c r="D252" s="39"/>
      <c r="E252" s="39"/>
      <c r="F252" s="39"/>
      <c r="G252" s="39"/>
    </row>
    <row r="253" spans="1:7">
      <c r="A253" s="40"/>
      <c r="B253" s="40"/>
      <c r="C253" s="40"/>
      <c r="D253" s="40"/>
      <c r="E253" s="40"/>
      <c r="F253" s="40"/>
      <c r="G253" s="40"/>
    </row>
    <row r="254" spans="1:7">
      <c r="A254" s="39"/>
      <c r="B254" s="39"/>
      <c r="C254" s="39"/>
      <c r="D254" s="39"/>
      <c r="E254" s="39"/>
      <c r="F254" s="39"/>
      <c r="G254" s="39"/>
    </row>
    <row r="255" spans="1:7">
      <c r="A255" s="40"/>
      <c r="B255" s="40"/>
      <c r="C255" s="40"/>
      <c r="D255" s="40"/>
      <c r="E255" s="40"/>
      <c r="F255" s="40"/>
      <c r="G255" s="40"/>
    </row>
    <row r="256" spans="1:7">
      <c r="A256" s="39"/>
      <c r="B256" s="39"/>
      <c r="C256" s="39"/>
      <c r="D256" s="39"/>
      <c r="E256" s="39"/>
      <c r="F256" s="39"/>
      <c r="G256" s="39"/>
    </row>
    <row r="257" spans="1:7">
      <c r="A257" s="40"/>
      <c r="B257" s="40"/>
      <c r="C257" s="40"/>
      <c r="D257" s="40"/>
      <c r="E257" s="40"/>
      <c r="F257" s="40"/>
      <c r="G257" s="40"/>
    </row>
    <row r="258" spans="1:7">
      <c r="A258" s="39"/>
      <c r="B258" s="39"/>
      <c r="C258" s="39"/>
      <c r="D258" s="39"/>
      <c r="E258" s="39"/>
      <c r="F258" s="39"/>
      <c r="G258" s="39"/>
    </row>
    <row r="259" spans="1:7">
      <c r="A259" s="40"/>
      <c r="B259" s="40"/>
      <c r="C259" s="40"/>
      <c r="D259" s="40"/>
      <c r="E259" s="40"/>
      <c r="F259" s="40"/>
      <c r="G259" s="40"/>
    </row>
    <row r="260" spans="1:7">
      <c r="A260" s="39"/>
      <c r="B260" s="39"/>
      <c r="C260" s="39"/>
      <c r="D260" s="39"/>
      <c r="E260" s="39"/>
      <c r="F260" s="39"/>
      <c r="G260" s="39"/>
    </row>
    <row r="261" spans="1:7">
      <c r="A261" s="40"/>
      <c r="B261" s="40"/>
      <c r="C261" s="40"/>
      <c r="D261" s="40"/>
      <c r="E261" s="40"/>
      <c r="F261" s="40"/>
      <c r="G261" s="40"/>
    </row>
    <row r="262" spans="1:7">
      <c r="A262" s="39"/>
      <c r="B262" s="39"/>
      <c r="C262" s="39"/>
      <c r="D262" s="39"/>
      <c r="E262" s="39"/>
      <c r="F262" s="39"/>
      <c r="G262" s="39"/>
    </row>
    <row r="263" spans="1:7">
      <c r="A263" s="40"/>
      <c r="B263" s="40"/>
      <c r="C263" s="40"/>
      <c r="D263" s="40"/>
      <c r="E263" s="40"/>
      <c r="F263" s="40"/>
      <c r="G263" s="40"/>
    </row>
    <row r="264" spans="1:7">
      <c r="A264" s="39"/>
      <c r="B264" s="39"/>
      <c r="C264" s="39"/>
      <c r="D264" s="39"/>
      <c r="E264" s="39"/>
      <c r="F264" s="39"/>
      <c r="G264" s="39"/>
    </row>
    <row r="265" spans="1:7">
      <c r="A265" s="40"/>
      <c r="B265" s="40"/>
      <c r="C265" s="40"/>
      <c r="D265" s="40"/>
      <c r="E265" s="40"/>
      <c r="F265" s="40"/>
      <c r="G265" s="40"/>
    </row>
    <row r="266" spans="1:7">
      <c r="A266" s="39"/>
      <c r="B266" s="39"/>
      <c r="C266" s="39"/>
      <c r="D266" s="39"/>
      <c r="E266" s="39"/>
      <c r="F266" s="39"/>
      <c r="G266" s="39"/>
    </row>
    <row r="267" spans="1:7">
      <c r="A267" s="40"/>
      <c r="B267" s="40"/>
      <c r="C267" s="40"/>
      <c r="D267" s="40"/>
      <c r="E267" s="40"/>
      <c r="F267" s="40"/>
      <c r="G267" s="40"/>
    </row>
    <row r="268" spans="1:7">
      <c r="A268" s="39"/>
      <c r="B268" s="39"/>
      <c r="C268" s="39"/>
      <c r="D268" s="39"/>
      <c r="E268" s="39"/>
      <c r="F268" s="39"/>
      <c r="G268" s="39"/>
    </row>
    <row r="269" spans="1:7">
      <c r="A269" s="40"/>
      <c r="B269" s="40"/>
      <c r="C269" s="40"/>
      <c r="D269" s="40"/>
      <c r="E269" s="40"/>
      <c r="F269" s="40"/>
      <c r="G269" s="40"/>
    </row>
    <row r="270" spans="1:7">
      <c r="A270" s="39"/>
      <c r="B270" s="39"/>
      <c r="C270" s="39"/>
      <c r="D270" s="39"/>
      <c r="E270" s="39"/>
      <c r="F270" s="39"/>
      <c r="G270" s="39"/>
    </row>
    <row r="271" spans="1:7">
      <c r="A271" s="40"/>
      <c r="B271" s="40"/>
      <c r="C271" s="40"/>
      <c r="D271" s="40"/>
      <c r="E271" s="40"/>
      <c r="F271" s="40"/>
      <c r="G271" s="40"/>
    </row>
    <row r="272" spans="1:7">
      <c r="A272" s="39"/>
      <c r="B272" s="39"/>
      <c r="C272" s="39"/>
      <c r="D272" s="39"/>
      <c r="E272" s="39"/>
      <c r="F272" s="39"/>
      <c r="G272" s="39"/>
    </row>
    <row r="273" spans="1:7">
      <c r="A273" s="40"/>
      <c r="B273" s="40"/>
      <c r="C273" s="40"/>
      <c r="D273" s="40"/>
      <c r="E273" s="40"/>
      <c r="F273" s="40"/>
      <c r="G273" s="40"/>
    </row>
    <row r="274" spans="1:7">
      <c r="A274" s="39"/>
      <c r="B274" s="39"/>
      <c r="C274" s="39"/>
      <c r="D274" s="39"/>
      <c r="E274" s="39"/>
      <c r="F274" s="39"/>
      <c r="G274" s="39"/>
    </row>
    <row r="275" spans="1:7">
      <c r="A275" s="40"/>
      <c r="B275" s="40"/>
      <c r="C275" s="40"/>
      <c r="D275" s="40"/>
      <c r="E275" s="40"/>
      <c r="F275" s="40"/>
      <c r="G275" s="40"/>
    </row>
    <row r="276" spans="1:7">
      <c r="A276" s="39"/>
      <c r="B276" s="39"/>
      <c r="C276" s="39"/>
      <c r="D276" s="39"/>
      <c r="E276" s="39"/>
      <c r="F276" s="39"/>
      <c r="G276" s="39"/>
    </row>
    <row r="277" spans="1:7">
      <c r="A277" s="40"/>
      <c r="B277" s="40"/>
      <c r="C277" s="40"/>
      <c r="D277" s="40"/>
      <c r="E277" s="40"/>
      <c r="F277" s="40"/>
      <c r="G277" s="40"/>
    </row>
    <row r="278" spans="1:7">
      <c r="A278" s="39"/>
      <c r="B278" s="39"/>
      <c r="C278" s="39"/>
      <c r="D278" s="39"/>
      <c r="E278" s="39"/>
      <c r="F278" s="39"/>
      <c r="G278" s="39"/>
    </row>
    <row r="279" spans="1:7">
      <c r="A279" s="40"/>
      <c r="B279" s="40"/>
      <c r="C279" s="40"/>
      <c r="D279" s="40"/>
      <c r="E279" s="40"/>
      <c r="F279" s="40"/>
      <c r="G279" s="40"/>
    </row>
    <row r="280" spans="1:7">
      <c r="A280" s="39"/>
      <c r="B280" s="39"/>
      <c r="C280" s="39"/>
      <c r="D280" s="39"/>
      <c r="E280" s="39"/>
      <c r="F280" s="39"/>
      <c r="G280" s="39"/>
    </row>
    <row r="281" spans="1:7">
      <c r="A281" s="40"/>
      <c r="B281" s="40"/>
      <c r="C281" s="40"/>
      <c r="D281" s="40"/>
      <c r="E281" s="40"/>
      <c r="F281" s="40"/>
      <c r="G281" s="40"/>
    </row>
    <row r="282" spans="1:7">
      <c r="A282" s="39"/>
      <c r="B282" s="39"/>
      <c r="C282" s="39"/>
      <c r="D282" s="39"/>
      <c r="E282" s="39"/>
      <c r="F282" s="39"/>
      <c r="G282" s="39"/>
    </row>
    <row r="283" spans="1:7">
      <c r="A283" s="40"/>
      <c r="B283" s="40"/>
      <c r="C283" s="40"/>
      <c r="D283" s="40"/>
      <c r="E283" s="40"/>
      <c r="F283" s="40"/>
      <c r="G283" s="40"/>
    </row>
    <row r="284" spans="1:7">
      <c r="A284" s="39"/>
      <c r="B284" s="39"/>
      <c r="C284" s="39"/>
      <c r="D284" s="39"/>
      <c r="E284" s="39"/>
      <c r="F284" s="39"/>
      <c r="G284" s="39"/>
    </row>
    <row r="285" spans="1:7">
      <c r="A285" s="40"/>
      <c r="B285" s="40"/>
      <c r="C285" s="40"/>
      <c r="D285" s="40"/>
      <c r="E285" s="40"/>
      <c r="F285" s="40"/>
      <c r="G285" s="40"/>
    </row>
    <row r="286" spans="1:7">
      <c r="A286" s="39"/>
      <c r="B286" s="39"/>
      <c r="C286" s="39"/>
      <c r="D286" s="39"/>
      <c r="E286" s="39"/>
      <c r="F286" s="39"/>
      <c r="G286" s="39"/>
    </row>
    <row r="287" spans="1:7">
      <c r="A287" s="40"/>
      <c r="B287" s="40"/>
      <c r="C287" s="40"/>
      <c r="D287" s="40"/>
      <c r="E287" s="40"/>
      <c r="F287" s="40"/>
      <c r="G287" s="40"/>
    </row>
    <row r="288" spans="1:7">
      <c r="A288" s="39"/>
      <c r="B288" s="39"/>
      <c r="C288" s="39"/>
      <c r="D288" s="39"/>
      <c r="E288" s="39"/>
      <c r="F288" s="39"/>
      <c r="G288" s="39"/>
    </row>
    <row r="289" spans="1:7">
      <c r="A289" s="40"/>
      <c r="B289" s="40"/>
      <c r="C289" s="40"/>
      <c r="D289" s="40"/>
      <c r="E289" s="40"/>
      <c r="F289" s="40"/>
      <c r="G289" s="40"/>
    </row>
    <row r="290" spans="1:7">
      <c r="A290" s="39"/>
      <c r="B290" s="39"/>
      <c r="C290" s="39"/>
      <c r="D290" s="39"/>
      <c r="E290" s="39"/>
      <c r="F290" s="39"/>
      <c r="G290" s="39"/>
    </row>
    <row r="291" spans="1:7">
      <c r="A291" s="40"/>
      <c r="B291" s="40"/>
      <c r="C291" s="40"/>
      <c r="D291" s="40"/>
      <c r="E291" s="40"/>
      <c r="F291" s="40"/>
      <c r="G291" s="40"/>
    </row>
    <row r="292" spans="1:7">
      <c r="A292" s="39"/>
      <c r="B292" s="39"/>
      <c r="C292" s="39"/>
      <c r="D292" s="39"/>
      <c r="E292" s="39"/>
      <c r="F292" s="39"/>
      <c r="G292" s="39"/>
    </row>
    <row r="293" spans="1:7">
      <c r="A293" s="40"/>
      <c r="B293" s="40"/>
      <c r="C293" s="40"/>
      <c r="D293" s="40"/>
      <c r="E293" s="40"/>
      <c r="F293" s="40"/>
      <c r="G293" s="40"/>
    </row>
    <row r="294" spans="1:7">
      <c r="A294" s="39"/>
      <c r="B294" s="39"/>
      <c r="C294" s="39"/>
      <c r="D294" s="39"/>
      <c r="E294" s="39"/>
      <c r="F294" s="39"/>
      <c r="G294" s="39"/>
    </row>
    <row r="295" spans="1:7">
      <c r="A295" s="40"/>
      <c r="B295" s="40"/>
      <c r="C295" s="40"/>
      <c r="D295" s="40"/>
      <c r="E295" s="40"/>
      <c r="F295" s="40"/>
      <c r="G295" s="40"/>
    </row>
    <row r="296" spans="1:7">
      <c r="A296" s="39"/>
      <c r="B296" s="39"/>
      <c r="C296" s="39"/>
      <c r="D296" s="39"/>
      <c r="E296" s="39"/>
      <c r="F296" s="39"/>
      <c r="G296" s="39"/>
    </row>
    <row r="297" spans="1:7">
      <c r="A297" s="40"/>
      <c r="B297" s="40"/>
      <c r="C297" s="40"/>
      <c r="D297" s="40"/>
      <c r="E297" s="40"/>
      <c r="F297" s="40"/>
      <c r="G297" s="40"/>
    </row>
    <row r="298" spans="1:7">
      <c r="A298" s="39"/>
      <c r="B298" s="39"/>
      <c r="C298" s="39"/>
      <c r="D298" s="39"/>
      <c r="E298" s="39"/>
      <c r="F298" s="39"/>
      <c r="G298" s="39"/>
    </row>
    <row r="299" spans="1:7">
      <c r="A299" s="40"/>
      <c r="B299" s="40"/>
      <c r="C299" s="40"/>
      <c r="D299" s="40"/>
      <c r="E299" s="40"/>
      <c r="F299" s="40"/>
      <c r="G299" s="40"/>
    </row>
    <row r="300" spans="1:7">
      <c r="A300" s="39"/>
      <c r="B300" s="39"/>
      <c r="C300" s="39"/>
      <c r="D300" s="39"/>
      <c r="E300" s="39"/>
      <c r="F300" s="39"/>
      <c r="G300" s="39"/>
    </row>
    <row r="301" spans="1:7">
      <c r="A301" s="40"/>
      <c r="B301" s="40"/>
      <c r="C301" s="40"/>
      <c r="D301" s="40"/>
      <c r="E301" s="40"/>
      <c r="F301" s="40"/>
      <c r="G301" s="40"/>
    </row>
    <row r="302" spans="1:7">
      <c r="A302" s="39"/>
      <c r="B302" s="39"/>
      <c r="C302" s="39"/>
      <c r="D302" s="39"/>
      <c r="E302" s="39"/>
      <c r="F302" s="39"/>
      <c r="G302" s="39"/>
    </row>
    <row r="303" spans="1:7">
      <c r="A303" s="40"/>
      <c r="B303" s="40"/>
      <c r="C303" s="40"/>
      <c r="D303" s="40"/>
      <c r="E303" s="40"/>
      <c r="F303" s="40"/>
      <c r="G303" s="40"/>
    </row>
    <row r="304" spans="1:7">
      <c r="A304" s="39"/>
      <c r="B304" s="39"/>
      <c r="C304" s="39"/>
      <c r="D304" s="39"/>
      <c r="E304" s="39"/>
      <c r="F304" s="39"/>
      <c r="G304" s="39"/>
    </row>
    <row r="305" spans="1:7">
      <c r="A305" s="40"/>
      <c r="B305" s="40"/>
      <c r="C305" s="40"/>
      <c r="D305" s="40"/>
      <c r="E305" s="40"/>
      <c r="F305" s="40"/>
      <c r="G305" s="40"/>
    </row>
    <row r="306" spans="1:7">
      <c r="A306" s="39"/>
      <c r="B306" s="39"/>
      <c r="C306" s="39"/>
      <c r="D306" s="39"/>
      <c r="E306" s="39"/>
      <c r="F306" s="39"/>
      <c r="G306" s="39"/>
    </row>
    <row r="307" spans="1:7">
      <c r="A307" s="40"/>
      <c r="B307" s="40"/>
      <c r="C307" s="40"/>
      <c r="D307" s="40"/>
      <c r="E307" s="40"/>
      <c r="F307" s="40"/>
      <c r="G307" s="40"/>
    </row>
    <row r="308" spans="1:7">
      <c r="A308" s="39"/>
      <c r="B308" s="39"/>
      <c r="C308" s="39"/>
      <c r="D308" s="39"/>
      <c r="E308" s="39"/>
      <c r="F308" s="39"/>
      <c r="G308" s="39"/>
    </row>
    <row r="309" spans="1:7">
      <c r="A309" s="40"/>
      <c r="B309" s="40"/>
      <c r="C309" s="40"/>
      <c r="D309" s="40"/>
      <c r="E309" s="40"/>
      <c r="F309" s="40"/>
      <c r="G309" s="40"/>
    </row>
    <row r="310" spans="1:7">
      <c r="A310" s="39"/>
      <c r="B310" s="39"/>
      <c r="C310" s="39"/>
      <c r="D310" s="39"/>
      <c r="E310" s="39"/>
      <c r="F310" s="39"/>
      <c r="G310" s="39"/>
    </row>
    <row r="311" spans="1:7">
      <c r="A311" s="40"/>
      <c r="B311" s="40"/>
      <c r="C311" s="40"/>
      <c r="D311" s="40"/>
      <c r="E311" s="40"/>
      <c r="F311" s="40"/>
      <c r="G311" s="40"/>
    </row>
    <row r="312" spans="1:7">
      <c r="A312" s="39"/>
      <c r="B312" s="39"/>
      <c r="C312" s="39"/>
      <c r="D312" s="39"/>
      <c r="E312" s="39"/>
      <c r="F312" s="39"/>
      <c r="G312" s="39"/>
    </row>
    <row r="313" spans="1:7">
      <c r="A313" s="40"/>
      <c r="B313" s="40"/>
      <c r="C313" s="40"/>
      <c r="D313" s="40"/>
      <c r="E313" s="40"/>
      <c r="F313" s="40"/>
      <c r="G313" s="40"/>
    </row>
    <row r="314" spans="1:7">
      <c r="A314" s="39"/>
      <c r="B314" s="39"/>
      <c r="C314" s="39"/>
      <c r="D314" s="39"/>
      <c r="E314" s="39"/>
      <c r="F314" s="39"/>
      <c r="G314" s="39"/>
    </row>
    <row r="315" spans="1:7">
      <c r="A315" s="40"/>
      <c r="B315" s="40"/>
      <c r="C315" s="40"/>
      <c r="D315" s="40"/>
      <c r="E315" s="40"/>
      <c r="F315" s="40"/>
      <c r="G315" s="40"/>
    </row>
    <row r="316" spans="1:7">
      <c r="A316" s="39"/>
      <c r="B316" s="39"/>
      <c r="C316" s="39"/>
      <c r="D316" s="39"/>
      <c r="E316" s="39"/>
      <c r="F316" s="39"/>
      <c r="G316" s="39"/>
    </row>
    <row r="317" spans="1:7">
      <c r="A317" s="40"/>
      <c r="B317" s="40"/>
      <c r="C317" s="40"/>
      <c r="D317" s="40"/>
      <c r="E317" s="40"/>
      <c r="F317" s="40"/>
      <c r="G317" s="40"/>
    </row>
    <row r="318" spans="1:7">
      <c r="A318" s="39"/>
      <c r="B318" s="39"/>
      <c r="C318" s="39"/>
      <c r="D318" s="39"/>
      <c r="E318" s="39"/>
      <c r="F318" s="39"/>
      <c r="G318" s="39"/>
    </row>
    <row r="319" spans="1:7">
      <c r="A319" s="40"/>
      <c r="B319" s="40"/>
      <c r="C319" s="40"/>
      <c r="D319" s="40"/>
      <c r="E319" s="40"/>
      <c r="F319" s="40"/>
      <c r="G319" s="40"/>
    </row>
    <row r="320" spans="1:7">
      <c r="A320" s="39"/>
      <c r="B320" s="39"/>
      <c r="C320" s="39"/>
      <c r="D320" s="39"/>
      <c r="E320" s="39"/>
      <c r="F320" s="39"/>
      <c r="G320" s="39"/>
    </row>
    <row r="321" spans="1:7">
      <c r="A321" s="40"/>
      <c r="B321" s="40"/>
      <c r="C321" s="40"/>
      <c r="D321" s="40"/>
      <c r="E321" s="40"/>
      <c r="F321" s="40"/>
      <c r="G321" s="40"/>
    </row>
    <row r="322" spans="1:7">
      <c r="A322" s="39"/>
      <c r="B322" s="39"/>
      <c r="C322" s="39"/>
      <c r="D322" s="39"/>
      <c r="E322" s="39"/>
      <c r="F322" s="39"/>
      <c r="G322" s="39"/>
    </row>
    <row r="323" spans="1:7">
      <c r="A323" s="40"/>
      <c r="B323" s="40"/>
      <c r="C323" s="40"/>
      <c r="D323" s="40"/>
      <c r="E323" s="40"/>
      <c r="F323" s="40"/>
      <c r="G323" s="40"/>
    </row>
    <row r="324" spans="1:7">
      <c r="A324" s="39"/>
      <c r="B324" s="39"/>
      <c r="C324" s="39"/>
      <c r="D324" s="39"/>
      <c r="E324" s="39"/>
      <c r="F324" s="39"/>
      <c r="G324" s="39"/>
    </row>
    <row r="325" spans="1:7">
      <c r="A325" s="40"/>
      <c r="B325" s="40"/>
      <c r="C325" s="40"/>
      <c r="D325" s="40"/>
      <c r="E325" s="40"/>
      <c r="F325" s="40"/>
      <c r="G325" s="40"/>
    </row>
    <row r="326" spans="1:7">
      <c r="A326" s="39"/>
      <c r="B326" s="39"/>
      <c r="C326" s="39"/>
      <c r="D326" s="39"/>
      <c r="E326" s="39"/>
      <c r="F326" s="39"/>
      <c r="G326" s="39"/>
    </row>
    <row r="327" spans="1:7">
      <c r="A327" s="40"/>
      <c r="B327" s="40"/>
      <c r="C327" s="40"/>
      <c r="D327" s="40"/>
      <c r="E327" s="40"/>
      <c r="F327" s="40"/>
      <c r="G327" s="40"/>
    </row>
    <row r="328" spans="1:7">
      <c r="A328" s="39"/>
      <c r="B328" s="39"/>
      <c r="C328" s="39"/>
      <c r="D328" s="39"/>
      <c r="E328" s="39"/>
      <c r="F328" s="39"/>
      <c r="G328" s="39"/>
    </row>
    <row r="329" spans="1:7">
      <c r="A329" s="40"/>
      <c r="B329" s="40"/>
      <c r="C329" s="40"/>
      <c r="D329" s="40"/>
      <c r="E329" s="40"/>
      <c r="F329" s="40"/>
      <c r="G329" s="40"/>
    </row>
    <row r="330" spans="1:7">
      <c r="A330" s="39"/>
      <c r="B330" s="39"/>
      <c r="C330" s="39"/>
      <c r="D330" s="39"/>
      <c r="E330" s="39"/>
      <c r="F330" s="39"/>
      <c r="G330" s="39"/>
    </row>
    <row r="331" spans="1:7">
      <c r="A331" s="40"/>
      <c r="B331" s="40"/>
      <c r="C331" s="40"/>
      <c r="D331" s="40"/>
      <c r="E331" s="40"/>
      <c r="F331" s="40"/>
      <c r="G331" s="40"/>
    </row>
    <row r="332" spans="1:7">
      <c r="A332" s="39"/>
      <c r="B332" s="39"/>
      <c r="C332" s="39"/>
      <c r="D332" s="39"/>
      <c r="E332" s="39"/>
      <c r="F332" s="39"/>
      <c r="G332" s="39"/>
    </row>
    <row r="333" spans="1:7">
      <c r="A333" s="40"/>
      <c r="B333" s="40"/>
      <c r="C333" s="40"/>
      <c r="D333" s="40"/>
      <c r="E333" s="40"/>
      <c r="F333" s="40"/>
      <c r="G333" s="40"/>
    </row>
    <row r="334" spans="1:7">
      <c r="A334" s="39"/>
      <c r="B334" s="39"/>
      <c r="C334" s="39"/>
      <c r="D334" s="39"/>
      <c r="E334" s="39"/>
      <c r="F334" s="39"/>
      <c r="G334" s="39"/>
    </row>
    <row r="335" spans="1:7">
      <c r="A335" s="40"/>
      <c r="B335" s="40"/>
      <c r="C335" s="40"/>
      <c r="D335" s="40"/>
      <c r="E335" s="40"/>
      <c r="F335" s="40"/>
      <c r="G335" s="40"/>
    </row>
    <row r="336" spans="1:7">
      <c r="A336" s="39"/>
      <c r="B336" s="39"/>
      <c r="C336" s="39"/>
      <c r="D336" s="39"/>
      <c r="E336" s="39"/>
      <c r="F336" s="39"/>
      <c r="G336" s="39"/>
    </row>
    <row r="337" spans="1:7">
      <c r="A337" s="40"/>
      <c r="B337" s="40"/>
      <c r="C337" s="40"/>
      <c r="D337" s="40"/>
      <c r="E337" s="40"/>
      <c r="F337" s="40"/>
      <c r="G337" s="40"/>
    </row>
    <row r="338" spans="1:7">
      <c r="A338" s="39"/>
      <c r="B338" s="39"/>
      <c r="C338" s="39"/>
      <c r="D338" s="39"/>
      <c r="E338" s="39"/>
      <c r="F338" s="39"/>
      <c r="G338" s="39"/>
    </row>
    <row r="339" spans="1:7">
      <c r="A339" s="40"/>
      <c r="B339" s="40"/>
      <c r="C339" s="40"/>
      <c r="D339" s="40"/>
      <c r="E339" s="40"/>
      <c r="F339" s="40"/>
      <c r="G339" s="40"/>
    </row>
    <row r="340" spans="1:7">
      <c r="A340" s="39"/>
      <c r="B340" s="39"/>
      <c r="C340" s="39"/>
      <c r="D340" s="39"/>
      <c r="E340" s="39"/>
      <c r="F340" s="39"/>
      <c r="G340" s="39"/>
    </row>
    <row r="341" spans="1:7">
      <c r="A341" s="40"/>
      <c r="B341" s="40"/>
      <c r="C341" s="40"/>
      <c r="D341" s="40"/>
      <c r="E341" s="40"/>
      <c r="F341" s="40"/>
      <c r="G341" s="40"/>
    </row>
    <row r="342" spans="1:7">
      <c r="A342" s="39"/>
      <c r="B342" s="39"/>
      <c r="C342" s="39"/>
      <c r="D342" s="39"/>
      <c r="E342" s="39"/>
      <c r="F342" s="39"/>
      <c r="G342" s="39"/>
    </row>
    <row r="343" spans="1:7">
      <c r="A343" s="40"/>
      <c r="B343" s="40"/>
      <c r="C343" s="40"/>
      <c r="D343" s="40"/>
      <c r="E343" s="40"/>
      <c r="F343" s="40"/>
      <c r="G343" s="40"/>
    </row>
    <row r="344" spans="1:7">
      <c r="A344" s="39"/>
      <c r="B344" s="39"/>
      <c r="C344" s="39"/>
      <c r="D344" s="39"/>
      <c r="E344" s="39"/>
      <c r="F344" s="39"/>
      <c r="G344" s="39"/>
    </row>
    <row r="345" spans="1:7">
      <c r="A345" s="40"/>
      <c r="B345" s="40"/>
      <c r="C345" s="40"/>
      <c r="D345" s="40"/>
      <c r="E345" s="40"/>
      <c r="F345" s="40"/>
      <c r="G345" s="40"/>
    </row>
    <row r="346" spans="1:7">
      <c r="A346" s="39"/>
      <c r="B346" s="39"/>
      <c r="C346" s="39"/>
      <c r="D346" s="39"/>
      <c r="E346" s="39"/>
      <c r="F346" s="39"/>
      <c r="G346" s="39"/>
    </row>
    <row r="347" spans="1:7">
      <c r="A347" s="40"/>
      <c r="B347" s="40"/>
      <c r="C347" s="40"/>
      <c r="D347" s="40"/>
      <c r="E347" s="40"/>
      <c r="F347" s="40"/>
      <c r="G347" s="40"/>
    </row>
    <row r="348" spans="1:7">
      <c r="A348" s="39"/>
      <c r="B348" s="39"/>
      <c r="C348" s="39"/>
      <c r="D348" s="39"/>
      <c r="E348" s="39"/>
      <c r="F348" s="39"/>
      <c r="G348" s="39"/>
    </row>
    <row r="349" spans="1:7">
      <c r="A349" s="40"/>
      <c r="B349" s="40"/>
      <c r="C349" s="40"/>
      <c r="D349" s="40"/>
      <c r="E349" s="40"/>
      <c r="F349" s="40"/>
      <c r="G349" s="40"/>
    </row>
    <row r="350" spans="1:7">
      <c r="A350" s="39"/>
      <c r="B350" s="39"/>
      <c r="C350" s="39"/>
      <c r="D350" s="39"/>
      <c r="E350" s="39"/>
      <c r="F350" s="39"/>
      <c r="G350" s="39"/>
    </row>
    <row r="351" spans="1:7">
      <c r="A351" s="40"/>
      <c r="B351" s="40"/>
      <c r="C351" s="40"/>
      <c r="D351" s="40"/>
      <c r="E351" s="40"/>
      <c r="F351" s="40"/>
      <c r="G351" s="40"/>
    </row>
    <row r="352" spans="1:7">
      <c r="A352" s="39"/>
      <c r="B352" s="39"/>
      <c r="C352" s="39"/>
      <c r="D352" s="39"/>
      <c r="E352" s="39"/>
      <c r="F352" s="39"/>
      <c r="G352" s="39"/>
    </row>
    <row r="353" spans="1:7">
      <c r="A353" s="40"/>
      <c r="B353" s="40"/>
      <c r="C353" s="40"/>
      <c r="D353" s="40"/>
      <c r="E353" s="40"/>
      <c r="F353" s="40"/>
      <c r="G353" s="40"/>
    </row>
    <row r="354" spans="1:7">
      <c r="A354" s="39"/>
      <c r="B354" s="39"/>
      <c r="C354" s="39"/>
      <c r="D354" s="39"/>
      <c r="E354" s="39"/>
      <c r="F354" s="39"/>
      <c r="G354" s="39"/>
    </row>
    <row r="355" spans="1:7">
      <c r="A355" s="40"/>
      <c r="B355" s="40"/>
      <c r="C355" s="40"/>
      <c r="D355" s="40"/>
      <c r="E355" s="40"/>
      <c r="F355" s="40"/>
      <c r="G355" s="40"/>
    </row>
    <row r="356" spans="1:7">
      <c r="A356" s="39"/>
      <c r="B356" s="39"/>
      <c r="C356" s="39"/>
      <c r="D356" s="39"/>
      <c r="E356" s="39"/>
      <c r="F356" s="39"/>
      <c r="G356" s="39"/>
    </row>
    <row r="357" spans="1:7">
      <c r="A357" s="40"/>
      <c r="B357" s="40"/>
      <c r="C357" s="40"/>
      <c r="D357" s="40"/>
      <c r="E357" s="40"/>
      <c r="F357" s="40"/>
      <c r="G357" s="40"/>
    </row>
    <row r="358" spans="1:7">
      <c r="A358" s="39"/>
      <c r="B358" s="39"/>
      <c r="C358" s="39"/>
      <c r="D358" s="39"/>
      <c r="E358" s="39"/>
      <c r="F358" s="39"/>
      <c r="G358" s="39"/>
    </row>
    <row r="359" spans="1:7">
      <c r="A359" s="40"/>
      <c r="B359" s="40"/>
      <c r="C359" s="40"/>
      <c r="D359" s="40"/>
      <c r="E359" s="40"/>
      <c r="F359" s="40"/>
      <c r="G359" s="40"/>
    </row>
    <row r="360" spans="1:7">
      <c r="A360" s="39"/>
      <c r="B360" s="39"/>
      <c r="C360" s="39"/>
      <c r="D360" s="39"/>
      <c r="E360" s="39"/>
      <c r="F360" s="39"/>
      <c r="G360" s="39"/>
    </row>
    <row r="361" spans="1:7">
      <c r="A361" s="40"/>
      <c r="B361" s="40"/>
      <c r="C361" s="40"/>
      <c r="D361" s="40"/>
      <c r="E361" s="40"/>
      <c r="F361" s="40"/>
      <c r="G361" s="40"/>
    </row>
    <row r="362" spans="1:7">
      <c r="A362" s="39"/>
      <c r="B362" s="39"/>
      <c r="C362" s="39"/>
      <c r="D362" s="39"/>
      <c r="E362" s="39"/>
      <c r="F362" s="39"/>
      <c r="G362" s="39"/>
    </row>
    <row r="363" spans="1:7">
      <c r="A363" s="40"/>
      <c r="B363" s="40"/>
      <c r="C363" s="40"/>
      <c r="D363" s="40"/>
      <c r="E363" s="40"/>
      <c r="F363" s="40"/>
      <c r="G363" s="40"/>
    </row>
    <row r="364" spans="1:7">
      <c r="A364" s="39"/>
      <c r="B364" s="39"/>
      <c r="C364" s="39"/>
      <c r="D364" s="39"/>
      <c r="E364" s="39"/>
      <c r="F364" s="39"/>
      <c r="G364" s="39"/>
    </row>
    <row r="365" spans="1:7">
      <c r="A365" s="40"/>
      <c r="B365" s="40"/>
      <c r="C365" s="40"/>
      <c r="D365" s="40"/>
      <c r="E365" s="40"/>
      <c r="F365" s="40"/>
      <c r="G365" s="40"/>
    </row>
    <row r="366" spans="1:7">
      <c r="A366" s="39"/>
      <c r="B366" s="39"/>
      <c r="C366" s="39"/>
      <c r="D366" s="39"/>
      <c r="E366" s="39"/>
      <c r="F366" s="39"/>
      <c r="G366" s="39"/>
    </row>
    <row r="367" spans="1:7">
      <c r="A367" s="40"/>
      <c r="B367" s="40"/>
      <c r="C367" s="40"/>
      <c r="D367" s="40"/>
      <c r="E367" s="40"/>
      <c r="F367" s="40"/>
      <c r="G367" s="40"/>
    </row>
    <row r="368" spans="1:7">
      <c r="A368" s="39"/>
      <c r="B368" s="39"/>
      <c r="C368" s="39"/>
      <c r="D368" s="39"/>
      <c r="E368" s="39"/>
      <c r="F368" s="39"/>
      <c r="G368" s="39"/>
    </row>
    <row r="369" spans="1:7">
      <c r="A369" s="40"/>
      <c r="B369" s="40"/>
      <c r="C369" s="40"/>
      <c r="D369" s="40"/>
      <c r="E369" s="40"/>
      <c r="F369" s="40"/>
      <c r="G369" s="40"/>
    </row>
    <row r="370" spans="1:7">
      <c r="A370" s="39"/>
      <c r="B370" s="39"/>
      <c r="C370" s="39"/>
      <c r="D370" s="39"/>
      <c r="E370" s="39"/>
      <c r="F370" s="39"/>
      <c r="G370" s="39"/>
    </row>
    <row r="371" spans="1:7">
      <c r="A371" s="40"/>
      <c r="B371" s="40"/>
      <c r="C371" s="40"/>
      <c r="D371" s="40"/>
      <c r="E371" s="40"/>
      <c r="F371" s="40"/>
      <c r="G371" s="40"/>
    </row>
    <row r="372" spans="1:7">
      <c r="A372" s="39"/>
      <c r="B372" s="39"/>
      <c r="C372" s="39"/>
      <c r="D372" s="39"/>
      <c r="E372" s="39"/>
      <c r="F372" s="39"/>
      <c r="G372" s="39"/>
    </row>
    <row r="373" spans="1:7">
      <c r="A373" s="40"/>
      <c r="B373" s="40"/>
      <c r="C373" s="40"/>
      <c r="D373" s="40"/>
      <c r="E373" s="40"/>
      <c r="F373" s="40"/>
      <c r="G373" s="40"/>
    </row>
    <row r="374" spans="1:7">
      <c r="A374" s="39"/>
      <c r="B374" s="39"/>
      <c r="C374" s="39"/>
      <c r="D374" s="39"/>
      <c r="E374" s="39"/>
      <c r="F374" s="39"/>
      <c r="G374" s="39"/>
    </row>
    <row r="375" spans="1:7">
      <c r="A375" s="40"/>
      <c r="B375" s="40"/>
      <c r="C375" s="40"/>
      <c r="D375" s="40"/>
      <c r="E375" s="40"/>
      <c r="F375" s="40"/>
      <c r="G375" s="40"/>
    </row>
    <row r="376" spans="1:7">
      <c r="A376" s="39"/>
      <c r="B376" s="39"/>
      <c r="C376" s="39"/>
      <c r="D376" s="39"/>
      <c r="E376" s="39"/>
      <c r="F376" s="39"/>
      <c r="G376" s="39"/>
    </row>
    <row r="377" spans="1:7">
      <c r="A377" s="40"/>
      <c r="B377" s="40"/>
      <c r="C377" s="40"/>
      <c r="D377" s="40"/>
      <c r="E377" s="40"/>
      <c r="F377" s="40"/>
      <c r="G377" s="40"/>
    </row>
    <row r="378" spans="1:7">
      <c r="A378" s="39"/>
      <c r="B378" s="39"/>
      <c r="C378" s="39"/>
      <c r="D378" s="39"/>
      <c r="E378" s="39"/>
      <c r="F378" s="39"/>
      <c r="G378" s="39"/>
    </row>
    <row r="379" spans="1:7">
      <c r="A379" s="40"/>
      <c r="B379" s="40"/>
      <c r="C379" s="40"/>
      <c r="D379" s="40"/>
      <c r="E379" s="40"/>
      <c r="F379" s="40"/>
      <c r="G379" s="40"/>
    </row>
    <row r="380" spans="1:7">
      <c r="A380" s="39"/>
      <c r="B380" s="39"/>
      <c r="C380" s="39"/>
      <c r="D380" s="39"/>
      <c r="E380" s="39"/>
      <c r="F380" s="39"/>
      <c r="G380" s="39"/>
    </row>
    <row r="381" spans="1:7">
      <c r="A381" s="40"/>
      <c r="B381" s="40"/>
      <c r="C381" s="40"/>
      <c r="D381" s="40"/>
      <c r="E381" s="40"/>
      <c r="F381" s="40"/>
      <c r="G381" s="40"/>
    </row>
    <row r="382" spans="1:7">
      <c r="A382" s="39"/>
      <c r="B382" s="39"/>
      <c r="C382" s="39"/>
      <c r="D382" s="39"/>
      <c r="E382" s="39"/>
      <c r="F382" s="39"/>
      <c r="G382" s="39"/>
    </row>
    <row r="383" spans="1:7">
      <c r="A383" s="40"/>
      <c r="B383" s="40"/>
      <c r="C383" s="40"/>
      <c r="D383" s="40"/>
      <c r="E383" s="40"/>
      <c r="F383" s="40"/>
      <c r="G383" s="40"/>
    </row>
    <row r="384" spans="1:7">
      <c r="A384" s="39"/>
      <c r="B384" s="39"/>
      <c r="C384" s="39"/>
      <c r="D384" s="39"/>
      <c r="E384" s="39"/>
      <c r="F384" s="39"/>
      <c r="G384" s="39"/>
    </row>
    <row r="385" spans="1:7">
      <c r="A385" s="40"/>
      <c r="B385" s="40"/>
      <c r="C385" s="40"/>
      <c r="D385" s="40"/>
      <c r="E385" s="40"/>
      <c r="F385" s="40"/>
      <c r="G385" s="40"/>
    </row>
    <row r="386" spans="1:7">
      <c r="A386" s="39"/>
      <c r="B386" s="39"/>
      <c r="C386" s="39"/>
      <c r="D386" s="39"/>
      <c r="E386" s="39"/>
      <c r="F386" s="39"/>
      <c r="G386" s="39"/>
    </row>
    <row r="387" spans="1:7">
      <c r="A387" s="40"/>
      <c r="B387" s="40"/>
      <c r="C387" s="40"/>
      <c r="D387" s="40"/>
      <c r="E387" s="40"/>
      <c r="F387" s="40"/>
      <c r="G387" s="40"/>
    </row>
    <row r="388" spans="1:7">
      <c r="A388" s="39"/>
      <c r="B388" s="39"/>
      <c r="C388" s="39"/>
      <c r="D388" s="39"/>
      <c r="E388" s="39"/>
      <c r="F388" s="39"/>
      <c r="G388" s="39"/>
    </row>
    <row r="389" spans="1:7">
      <c r="A389" s="40"/>
      <c r="B389" s="40"/>
      <c r="C389" s="40"/>
      <c r="D389" s="40"/>
      <c r="E389" s="40"/>
      <c r="F389" s="40"/>
      <c r="G389" s="40"/>
    </row>
    <row r="390" spans="1:7">
      <c r="A390" s="39"/>
      <c r="B390" s="39"/>
      <c r="C390" s="39"/>
      <c r="D390" s="39"/>
      <c r="E390" s="39"/>
      <c r="F390" s="39"/>
      <c r="G390" s="39"/>
    </row>
    <row r="391" spans="1:7">
      <c r="A391" s="40"/>
      <c r="B391" s="40"/>
      <c r="C391" s="40"/>
      <c r="D391" s="40"/>
      <c r="E391" s="40"/>
      <c r="F391" s="40"/>
      <c r="G391" s="40"/>
    </row>
    <row r="392" spans="1:7">
      <c r="A392" s="39"/>
      <c r="B392" s="39"/>
      <c r="C392" s="39"/>
      <c r="D392" s="39"/>
      <c r="E392" s="39"/>
      <c r="F392" s="39"/>
      <c r="G392" s="39"/>
    </row>
    <row r="393" spans="1:7">
      <c r="A393" s="40"/>
      <c r="B393" s="40"/>
      <c r="C393" s="40"/>
      <c r="D393" s="40"/>
      <c r="E393" s="40"/>
      <c r="F393" s="40"/>
      <c r="G393" s="40"/>
    </row>
    <row r="394" spans="1:7">
      <c r="A394" s="39"/>
      <c r="B394" s="39"/>
      <c r="C394" s="39"/>
      <c r="D394" s="39"/>
      <c r="E394" s="39"/>
      <c r="F394" s="39"/>
      <c r="G394" s="39"/>
    </row>
    <row r="395" spans="1:7">
      <c r="A395" s="40"/>
      <c r="B395" s="40"/>
      <c r="C395" s="40"/>
      <c r="D395" s="40"/>
      <c r="E395" s="40"/>
      <c r="F395" s="40"/>
      <c r="G395" s="40"/>
    </row>
    <row r="396" spans="1:7">
      <c r="A396" s="39"/>
      <c r="B396" s="39"/>
      <c r="C396" s="39"/>
      <c r="D396" s="39"/>
      <c r="E396" s="39"/>
      <c r="F396" s="39"/>
      <c r="G396" s="39"/>
    </row>
    <row r="397" spans="1:7">
      <c r="A397" s="40"/>
      <c r="B397" s="40"/>
      <c r="C397" s="40"/>
      <c r="D397" s="40"/>
      <c r="E397" s="40"/>
      <c r="F397" s="40"/>
      <c r="G397" s="40"/>
    </row>
    <row r="398" spans="1:7">
      <c r="A398" s="39"/>
      <c r="B398" s="39"/>
      <c r="C398" s="39"/>
      <c r="D398" s="39"/>
      <c r="E398" s="39"/>
      <c r="F398" s="39"/>
      <c r="G398" s="39"/>
    </row>
    <row r="399" spans="1:7">
      <c r="A399" s="40"/>
      <c r="B399" s="40"/>
      <c r="C399" s="40"/>
      <c r="D399" s="40"/>
      <c r="E399" s="40"/>
      <c r="F399" s="40"/>
      <c r="G399" s="40"/>
    </row>
    <row r="400" spans="1:7">
      <c r="A400" s="39"/>
      <c r="B400" s="39"/>
      <c r="C400" s="39"/>
      <c r="D400" s="39"/>
      <c r="E400" s="39"/>
      <c r="F400" s="39"/>
      <c r="G400" s="39"/>
    </row>
    <row r="401" spans="1:7">
      <c r="A401" s="40"/>
      <c r="B401" s="40"/>
      <c r="C401" s="40"/>
      <c r="D401" s="40"/>
      <c r="E401" s="40"/>
      <c r="F401" s="40"/>
      <c r="G401" s="40"/>
    </row>
    <row r="402" spans="1:7">
      <c r="A402" s="39"/>
      <c r="B402" s="39"/>
      <c r="C402" s="39"/>
      <c r="D402" s="39"/>
      <c r="E402" s="39"/>
      <c r="F402" s="39"/>
      <c r="G402" s="39"/>
    </row>
    <row r="403" spans="1:7">
      <c r="A403" s="40"/>
      <c r="B403" s="40"/>
      <c r="C403" s="40"/>
      <c r="D403" s="40"/>
      <c r="E403" s="40"/>
      <c r="F403" s="40"/>
      <c r="G403" s="40"/>
    </row>
    <row r="404" spans="1:7">
      <c r="A404" s="39"/>
      <c r="B404" s="39"/>
      <c r="C404" s="39"/>
      <c r="D404" s="39"/>
      <c r="E404" s="39"/>
      <c r="F404" s="39"/>
      <c r="G404" s="39"/>
    </row>
    <row r="405" spans="1:7">
      <c r="A405" s="40"/>
      <c r="B405" s="40"/>
      <c r="C405" s="40"/>
      <c r="D405" s="40"/>
      <c r="E405" s="40"/>
      <c r="F405" s="40"/>
      <c r="G405" s="40"/>
    </row>
    <row r="406" spans="1:7">
      <c r="A406" s="39"/>
      <c r="B406" s="39"/>
      <c r="C406" s="39"/>
      <c r="D406" s="39"/>
      <c r="E406" s="39"/>
      <c r="F406" s="39"/>
      <c r="G406" s="39"/>
    </row>
    <row r="407" spans="1:7">
      <c r="A407" s="40"/>
      <c r="B407" s="40"/>
      <c r="C407" s="40"/>
      <c r="D407" s="40"/>
      <c r="E407" s="40"/>
      <c r="F407" s="40"/>
      <c r="G407" s="40"/>
    </row>
    <row r="408" spans="1:7">
      <c r="A408" s="39"/>
      <c r="B408" s="39"/>
      <c r="C408" s="39"/>
      <c r="D408" s="39"/>
      <c r="E408" s="39"/>
      <c r="F408" s="39"/>
      <c r="G408" s="39"/>
    </row>
    <row r="409" spans="1:7">
      <c r="A409" s="40"/>
      <c r="B409" s="40"/>
      <c r="C409" s="40"/>
      <c r="D409" s="40"/>
      <c r="E409" s="40"/>
      <c r="F409" s="40"/>
      <c r="G409" s="40"/>
    </row>
    <row r="410" spans="1:7">
      <c r="A410" s="39"/>
      <c r="B410" s="39"/>
      <c r="C410" s="39"/>
      <c r="D410" s="39"/>
      <c r="E410" s="39"/>
      <c r="F410" s="39"/>
      <c r="G410" s="39"/>
    </row>
    <row r="411" spans="1:7">
      <c r="A411" s="40"/>
      <c r="B411" s="40"/>
      <c r="C411" s="40"/>
      <c r="D411" s="40"/>
      <c r="E411" s="40"/>
      <c r="F411" s="40"/>
      <c r="G411" s="40"/>
    </row>
    <row r="412" spans="1:7">
      <c r="A412" s="39"/>
      <c r="B412" s="39"/>
      <c r="C412" s="39"/>
      <c r="D412" s="39"/>
      <c r="E412" s="39"/>
      <c r="F412" s="39"/>
      <c r="G412" s="39"/>
    </row>
    <row r="413" spans="1:7">
      <c r="A413" s="40"/>
      <c r="B413" s="40"/>
      <c r="C413" s="40"/>
      <c r="D413" s="40"/>
      <c r="E413" s="40"/>
      <c r="F413" s="40"/>
      <c r="G413" s="40"/>
    </row>
    <row r="414" spans="1:7">
      <c r="A414" s="39"/>
      <c r="B414" s="39"/>
      <c r="C414" s="39"/>
      <c r="D414" s="39"/>
      <c r="E414" s="39"/>
      <c r="F414" s="39"/>
      <c r="G414" s="39"/>
    </row>
    <row r="415" spans="1:7">
      <c r="A415" s="40"/>
      <c r="B415" s="40"/>
      <c r="C415" s="40"/>
      <c r="D415" s="40"/>
      <c r="E415" s="40"/>
      <c r="F415" s="40"/>
      <c r="G415" s="40"/>
    </row>
    <row r="416" spans="1:7">
      <c r="A416" s="39"/>
      <c r="B416" s="39"/>
      <c r="C416" s="39"/>
      <c r="D416" s="39"/>
      <c r="E416" s="39"/>
      <c r="F416" s="39"/>
      <c r="G416" s="39"/>
    </row>
    <row r="417" spans="1:7">
      <c r="A417" s="40"/>
      <c r="B417" s="40"/>
      <c r="C417" s="40"/>
      <c r="D417" s="40"/>
      <c r="E417" s="40"/>
      <c r="F417" s="40"/>
      <c r="G417" s="40"/>
    </row>
    <row r="418" spans="1:7">
      <c r="A418" s="39"/>
      <c r="B418" s="39"/>
      <c r="C418" s="39"/>
      <c r="D418" s="39"/>
      <c r="E418" s="39"/>
      <c r="F418" s="39"/>
      <c r="G418" s="39"/>
    </row>
    <row r="419" spans="1:7">
      <c r="A419" s="40"/>
      <c r="B419" s="40"/>
      <c r="C419" s="40"/>
      <c r="D419" s="40"/>
      <c r="E419" s="40"/>
      <c r="F419" s="40"/>
      <c r="G419" s="40"/>
    </row>
    <row r="420" spans="1:7">
      <c r="A420" s="39"/>
      <c r="B420" s="39"/>
      <c r="C420" s="39"/>
      <c r="D420" s="39"/>
      <c r="E420" s="39"/>
      <c r="F420" s="39"/>
      <c r="G420" s="39"/>
    </row>
    <row r="421" spans="1:7">
      <c r="A421" s="40"/>
      <c r="B421" s="40"/>
      <c r="C421" s="40"/>
      <c r="D421" s="40"/>
      <c r="E421" s="40"/>
      <c r="F421" s="40"/>
      <c r="G421" s="40"/>
    </row>
    <row r="422" spans="1:7">
      <c r="A422" s="39"/>
      <c r="B422" s="39"/>
      <c r="C422" s="39"/>
      <c r="D422" s="39"/>
      <c r="E422" s="39"/>
      <c r="F422" s="39"/>
      <c r="G422" s="39"/>
    </row>
    <row r="423" spans="1:7">
      <c r="A423" s="40"/>
      <c r="B423" s="40"/>
      <c r="C423" s="40"/>
      <c r="D423" s="40"/>
      <c r="E423" s="40"/>
      <c r="F423" s="40"/>
      <c r="G423" s="40"/>
    </row>
    <row r="424" spans="1:7">
      <c r="A424" s="39"/>
      <c r="B424" s="39"/>
      <c r="C424" s="39"/>
      <c r="D424" s="39"/>
      <c r="E424" s="39"/>
      <c r="F424" s="39"/>
      <c r="G424" s="39"/>
    </row>
    <row r="425" spans="1:7">
      <c r="A425" s="40"/>
      <c r="B425" s="40"/>
      <c r="C425" s="40"/>
      <c r="D425" s="40"/>
      <c r="E425" s="40"/>
      <c r="F425" s="40"/>
      <c r="G425" s="40"/>
    </row>
    <row r="426" spans="1:7">
      <c r="A426" s="39"/>
      <c r="B426" s="39"/>
      <c r="C426" s="39"/>
      <c r="D426" s="39"/>
      <c r="E426" s="39"/>
      <c r="F426" s="39"/>
      <c r="G426" s="39"/>
    </row>
    <row r="427" spans="1:7">
      <c r="A427" s="40"/>
      <c r="B427" s="40"/>
      <c r="C427" s="40"/>
      <c r="D427" s="40"/>
      <c r="E427" s="40"/>
      <c r="F427" s="40"/>
      <c r="G427" s="40"/>
    </row>
    <row r="428" spans="1:7">
      <c r="A428" s="39"/>
      <c r="B428" s="39"/>
      <c r="C428" s="39"/>
      <c r="D428" s="39"/>
      <c r="E428" s="39"/>
      <c r="F428" s="39"/>
      <c r="G428" s="39"/>
    </row>
    <row r="429" spans="1:7">
      <c r="A429" s="40"/>
      <c r="B429" s="40"/>
      <c r="C429" s="40"/>
      <c r="D429" s="40"/>
      <c r="E429" s="40"/>
      <c r="F429" s="40"/>
      <c r="G429" s="40"/>
    </row>
    <row r="430" spans="1:7">
      <c r="A430" s="39"/>
      <c r="B430" s="39"/>
      <c r="C430" s="39"/>
      <c r="D430" s="39"/>
      <c r="E430" s="39"/>
      <c r="F430" s="39"/>
      <c r="G430" s="39"/>
    </row>
    <row r="431" spans="1:7">
      <c r="A431" s="40"/>
      <c r="B431" s="40"/>
      <c r="C431" s="40"/>
      <c r="D431" s="40"/>
      <c r="E431" s="40"/>
      <c r="F431" s="40"/>
      <c r="G431" s="40"/>
    </row>
    <row r="432" spans="1:7">
      <c r="A432" s="39"/>
      <c r="B432" s="39"/>
      <c r="C432" s="39"/>
      <c r="D432" s="39"/>
      <c r="E432" s="39"/>
      <c r="F432" s="39"/>
      <c r="G432" s="39"/>
    </row>
    <row r="433" spans="1:7">
      <c r="A433" s="40"/>
      <c r="B433" s="40"/>
      <c r="C433" s="40"/>
      <c r="D433" s="40"/>
      <c r="E433" s="40"/>
      <c r="F433" s="40"/>
      <c r="G433" s="40"/>
    </row>
    <row r="434" spans="1:7">
      <c r="A434" s="39"/>
      <c r="B434" s="39"/>
      <c r="C434" s="39"/>
      <c r="D434" s="39"/>
      <c r="E434" s="39"/>
      <c r="F434" s="39"/>
      <c r="G434" s="39"/>
    </row>
    <row r="435" spans="1:7">
      <c r="A435" s="40"/>
      <c r="B435" s="40"/>
      <c r="C435" s="40"/>
      <c r="D435" s="40"/>
      <c r="E435" s="40"/>
      <c r="F435" s="40"/>
      <c r="G435" s="40"/>
    </row>
    <row r="436" spans="1:7">
      <c r="A436" s="39"/>
      <c r="B436" s="39"/>
      <c r="C436" s="39"/>
      <c r="D436" s="39"/>
      <c r="E436" s="39"/>
      <c r="F436" s="39"/>
      <c r="G436" s="39"/>
    </row>
    <row r="437" spans="1:7">
      <c r="A437" s="40"/>
      <c r="B437" s="40"/>
      <c r="C437" s="40"/>
      <c r="D437" s="40"/>
      <c r="E437" s="40"/>
      <c r="F437" s="40"/>
      <c r="G437" s="40"/>
    </row>
    <row r="438" spans="1:7">
      <c r="A438" s="39"/>
      <c r="B438" s="39"/>
      <c r="C438" s="39"/>
      <c r="D438" s="39"/>
      <c r="E438" s="39"/>
      <c r="F438" s="39"/>
      <c r="G438" s="39"/>
    </row>
    <row r="439" spans="1:7">
      <c r="A439" s="40"/>
      <c r="B439" s="40"/>
      <c r="C439" s="40"/>
      <c r="D439" s="40"/>
      <c r="E439" s="40"/>
      <c r="F439" s="40"/>
      <c r="G439" s="40"/>
    </row>
    <row r="440" spans="1:7">
      <c r="A440" s="39"/>
      <c r="B440" s="39"/>
      <c r="C440" s="39"/>
      <c r="D440" s="39"/>
      <c r="E440" s="39"/>
      <c r="F440" s="39"/>
      <c r="G440" s="39"/>
    </row>
    <row r="441" spans="1:7">
      <c r="A441" s="40"/>
      <c r="B441" s="40"/>
      <c r="C441" s="40"/>
      <c r="D441" s="40"/>
      <c r="E441" s="40"/>
      <c r="F441" s="40"/>
      <c r="G441" s="40"/>
    </row>
    <row r="442" spans="1:7">
      <c r="A442" s="39"/>
      <c r="B442" s="39"/>
      <c r="C442" s="39"/>
      <c r="D442" s="39"/>
      <c r="E442" s="39"/>
      <c r="F442" s="39"/>
      <c r="G442" s="39"/>
    </row>
    <row r="443" spans="1:7">
      <c r="A443" s="40"/>
      <c r="B443" s="40"/>
      <c r="C443" s="40"/>
      <c r="D443" s="40"/>
      <c r="E443" s="40"/>
      <c r="F443" s="40"/>
      <c r="G443" s="40"/>
    </row>
    <row r="444" spans="1:7">
      <c r="A444" s="39"/>
      <c r="B444" s="39"/>
      <c r="C444" s="39"/>
      <c r="D444" s="39"/>
      <c r="E444" s="39"/>
      <c r="F444" s="39"/>
      <c r="G444" s="39"/>
    </row>
    <row r="445" spans="1:7">
      <c r="A445" s="40"/>
      <c r="B445" s="40"/>
      <c r="C445" s="40"/>
      <c r="D445" s="40"/>
      <c r="E445" s="40"/>
      <c r="F445" s="40"/>
      <c r="G445" s="40"/>
    </row>
    <row r="446" spans="1:7">
      <c r="A446" s="39"/>
      <c r="B446" s="39"/>
      <c r="C446" s="39"/>
      <c r="D446" s="39"/>
      <c r="E446" s="39"/>
      <c r="F446" s="39"/>
      <c r="G446" s="39"/>
    </row>
    <row r="447" spans="1:7">
      <c r="A447" s="40"/>
      <c r="B447" s="40"/>
      <c r="C447" s="40"/>
      <c r="D447" s="40"/>
      <c r="E447" s="40"/>
      <c r="F447" s="40"/>
      <c r="G447" s="40"/>
    </row>
    <row r="448" spans="1:7">
      <c r="A448" s="39"/>
      <c r="B448" s="39"/>
      <c r="C448" s="39"/>
      <c r="D448" s="39"/>
      <c r="E448" s="39"/>
      <c r="F448" s="39"/>
      <c r="G448" s="39"/>
    </row>
    <row r="449" spans="1:7">
      <c r="A449" s="40"/>
      <c r="B449" s="40"/>
      <c r="C449" s="40"/>
      <c r="D449" s="40"/>
      <c r="E449" s="40"/>
      <c r="F449" s="40"/>
      <c r="G449" s="40"/>
    </row>
    <row r="450" spans="1:7">
      <c r="A450" s="39"/>
      <c r="B450" s="39"/>
      <c r="C450" s="39"/>
      <c r="D450" s="39"/>
      <c r="E450" s="39"/>
      <c r="F450" s="39"/>
      <c r="G450" s="39"/>
    </row>
    <row r="451" spans="1:7">
      <c r="A451" s="40"/>
      <c r="B451" s="40"/>
      <c r="C451" s="40"/>
      <c r="D451" s="40"/>
      <c r="E451" s="40"/>
      <c r="F451" s="40"/>
      <c r="G451" s="40"/>
    </row>
    <row r="452" spans="1:7">
      <c r="A452" s="39"/>
      <c r="B452" s="39"/>
      <c r="C452" s="39"/>
      <c r="D452" s="39"/>
      <c r="E452" s="39"/>
      <c r="F452" s="39"/>
      <c r="G452" s="39"/>
    </row>
    <row r="453" spans="1:7">
      <c r="A453" s="40"/>
      <c r="B453" s="40"/>
      <c r="C453" s="40"/>
      <c r="D453" s="40"/>
      <c r="E453" s="40"/>
      <c r="F453" s="40"/>
      <c r="G453" s="40"/>
    </row>
    <row r="454" spans="1:7">
      <c r="A454" s="39"/>
      <c r="B454" s="39"/>
      <c r="C454" s="39"/>
      <c r="D454" s="39"/>
      <c r="E454" s="39"/>
      <c r="F454" s="39"/>
      <c r="G454" s="39"/>
    </row>
    <row r="455" spans="1:7">
      <c r="A455" s="40"/>
      <c r="B455" s="40"/>
      <c r="C455" s="40"/>
      <c r="D455" s="40"/>
      <c r="E455" s="40"/>
      <c r="F455" s="40"/>
      <c r="G455" s="40"/>
    </row>
    <row r="456" spans="1:7">
      <c r="A456" s="39"/>
      <c r="B456" s="39"/>
      <c r="C456" s="39"/>
      <c r="D456" s="39"/>
      <c r="E456" s="39"/>
      <c r="F456" s="39"/>
      <c r="G456" s="39"/>
    </row>
    <row r="457" spans="1:7">
      <c r="A457" s="40"/>
      <c r="B457" s="40"/>
      <c r="C457" s="40"/>
      <c r="D457" s="40"/>
      <c r="E457" s="40"/>
      <c r="F457" s="40"/>
      <c r="G457" s="40"/>
    </row>
    <row r="458" spans="1:7">
      <c r="A458" s="39"/>
      <c r="B458" s="39"/>
      <c r="C458" s="39"/>
      <c r="D458" s="39"/>
      <c r="E458" s="39"/>
      <c r="F458" s="39"/>
      <c r="G458" s="39"/>
    </row>
    <row r="459" spans="1:7">
      <c r="A459" s="40"/>
      <c r="B459" s="40"/>
      <c r="C459" s="40"/>
      <c r="D459" s="40"/>
      <c r="E459" s="40"/>
      <c r="F459" s="40"/>
      <c r="G459" s="40"/>
    </row>
    <row r="460" spans="1:7">
      <c r="A460" s="39"/>
      <c r="B460" s="39"/>
      <c r="C460" s="39"/>
      <c r="D460" s="39"/>
      <c r="E460" s="39"/>
      <c r="F460" s="39"/>
      <c r="G460" s="39"/>
    </row>
    <row r="461" spans="1:7">
      <c r="A461" s="40"/>
      <c r="B461" s="40"/>
      <c r="C461" s="40"/>
      <c r="D461" s="40"/>
      <c r="E461" s="40"/>
      <c r="F461" s="40"/>
      <c r="G461" s="40"/>
    </row>
    <row r="462" spans="1:7">
      <c r="A462" s="39"/>
      <c r="B462" s="39"/>
      <c r="C462" s="39"/>
      <c r="D462" s="39"/>
      <c r="E462" s="39"/>
      <c r="F462" s="39"/>
      <c r="G462" s="39"/>
    </row>
    <row r="463" spans="1:7">
      <c r="A463" s="40"/>
      <c r="B463" s="40"/>
      <c r="C463" s="40"/>
      <c r="D463" s="40"/>
      <c r="E463" s="40"/>
      <c r="F463" s="40"/>
      <c r="G463" s="40"/>
    </row>
    <row r="464" spans="1:7">
      <c r="A464" s="39"/>
      <c r="B464" s="39"/>
      <c r="C464" s="39"/>
      <c r="D464" s="39"/>
      <c r="E464" s="39"/>
      <c r="F464" s="39"/>
      <c r="G464" s="39"/>
    </row>
    <row r="465" spans="1:7">
      <c r="A465" s="40"/>
      <c r="B465" s="40"/>
      <c r="C465" s="40"/>
      <c r="D465" s="40"/>
      <c r="E465" s="40"/>
      <c r="F465" s="40"/>
      <c r="G465" s="40"/>
    </row>
    <row r="466" spans="1:7">
      <c r="A466" s="39"/>
      <c r="B466" s="39"/>
      <c r="C466" s="39"/>
      <c r="D466" s="39"/>
      <c r="E466" s="39"/>
      <c r="F466" s="39"/>
      <c r="G466" s="39"/>
    </row>
    <row r="467" spans="1:7">
      <c r="A467" s="40"/>
      <c r="B467" s="40"/>
      <c r="C467" s="40"/>
      <c r="D467" s="40"/>
      <c r="E467" s="40"/>
      <c r="F467" s="40"/>
      <c r="G467" s="40"/>
    </row>
    <row r="468" spans="1:7">
      <c r="A468" s="39"/>
      <c r="B468" s="39"/>
      <c r="C468" s="39"/>
      <c r="D468" s="39"/>
      <c r="E468" s="39"/>
      <c r="F468" s="39"/>
      <c r="G468" s="39"/>
    </row>
    <row r="469" spans="1:7">
      <c r="A469" s="40"/>
      <c r="B469" s="40"/>
      <c r="C469" s="40"/>
      <c r="D469" s="40"/>
      <c r="E469" s="40"/>
      <c r="F469" s="40"/>
      <c r="G469" s="40"/>
    </row>
    <row r="470" spans="1:7">
      <c r="A470" s="39"/>
      <c r="B470" s="39"/>
      <c r="C470" s="39"/>
      <c r="D470" s="39"/>
      <c r="E470" s="39"/>
      <c r="F470" s="39"/>
      <c r="G470" s="39"/>
    </row>
    <row r="471" spans="1:7">
      <c r="A471" s="40"/>
      <c r="B471" s="40"/>
      <c r="C471" s="40"/>
      <c r="D471" s="40"/>
      <c r="E471" s="40"/>
      <c r="F471" s="40"/>
      <c r="G471" s="40"/>
    </row>
    <row r="472" spans="1:7">
      <c r="A472" s="39"/>
      <c r="B472" s="39"/>
      <c r="C472" s="39"/>
      <c r="D472" s="39"/>
      <c r="E472" s="39"/>
      <c r="F472" s="39"/>
      <c r="G472" s="39"/>
    </row>
    <row r="473" spans="1:7">
      <c r="A473" s="40"/>
      <c r="B473" s="40"/>
      <c r="C473" s="40"/>
      <c r="D473" s="40"/>
      <c r="E473" s="40"/>
      <c r="F473" s="40"/>
      <c r="G473" s="40"/>
    </row>
    <row r="474" spans="1:7">
      <c r="A474" s="39"/>
      <c r="B474" s="39"/>
      <c r="C474" s="39"/>
      <c r="D474" s="39"/>
      <c r="E474" s="39"/>
      <c r="F474" s="39"/>
      <c r="G474" s="39"/>
    </row>
    <row r="475" spans="1:7">
      <c r="A475" s="40"/>
      <c r="B475" s="40"/>
      <c r="C475" s="40"/>
      <c r="D475" s="40"/>
      <c r="E475" s="40"/>
      <c r="F475" s="40"/>
      <c r="G475" s="40"/>
    </row>
    <row r="476" spans="1:7">
      <c r="A476" s="39"/>
      <c r="B476" s="39"/>
      <c r="C476" s="39"/>
      <c r="D476" s="39"/>
      <c r="E476" s="39"/>
      <c r="F476" s="39"/>
      <c r="G476" s="39"/>
    </row>
    <row r="477" spans="1:7">
      <c r="A477" s="40"/>
      <c r="B477" s="40"/>
      <c r="C477" s="40"/>
      <c r="D477" s="40"/>
      <c r="E477" s="40"/>
      <c r="F477" s="40"/>
      <c r="G477" s="40"/>
    </row>
    <row r="478" spans="1:7">
      <c r="A478" s="39"/>
      <c r="B478" s="39"/>
      <c r="C478" s="39"/>
      <c r="D478" s="39"/>
      <c r="E478" s="39"/>
      <c r="F478" s="39"/>
      <c r="G478" s="39"/>
    </row>
    <row r="479" spans="1:7">
      <c r="A479" s="40"/>
      <c r="B479" s="40"/>
      <c r="C479" s="40"/>
      <c r="D479" s="40"/>
      <c r="E479" s="40"/>
      <c r="F479" s="40"/>
      <c r="G479" s="40"/>
    </row>
    <row r="480" spans="1:7">
      <c r="A480" s="39"/>
      <c r="B480" s="39"/>
      <c r="C480" s="39"/>
      <c r="D480" s="39"/>
      <c r="E480" s="39"/>
      <c r="F480" s="39"/>
      <c r="G480" s="39"/>
    </row>
    <row r="481" spans="1:7">
      <c r="A481" s="40"/>
      <c r="B481" s="40"/>
      <c r="C481" s="40"/>
      <c r="D481" s="40"/>
      <c r="E481" s="40"/>
      <c r="F481" s="40"/>
      <c r="G481" s="40"/>
    </row>
    <row r="482" spans="1:7">
      <c r="A482" s="39"/>
      <c r="B482" s="39"/>
      <c r="C482" s="39"/>
      <c r="D482" s="39"/>
      <c r="E482" s="39"/>
      <c r="F482" s="39"/>
      <c r="G482" s="39"/>
    </row>
    <row r="483" spans="1:7">
      <c r="A483" s="40"/>
      <c r="B483" s="40"/>
      <c r="C483" s="40"/>
      <c r="D483" s="40"/>
      <c r="E483" s="40"/>
      <c r="F483" s="40"/>
      <c r="G483" s="40"/>
    </row>
    <row r="484" spans="1:7">
      <c r="A484" s="39"/>
      <c r="B484" s="39"/>
      <c r="C484" s="39"/>
      <c r="D484" s="39"/>
      <c r="E484" s="39"/>
      <c r="F484" s="39"/>
      <c r="G484" s="39"/>
    </row>
    <row r="485" spans="1:7">
      <c r="A485" s="40"/>
      <c r="B485" s="40"/>
      <c r="C485" s="40"/>
      <c r="D485" s="40"/>
      <c r="E485" s="40"/>
      <c r="F485" s="40"/>
      <c r="G485" s="40"/>
    </row>
    <row r="486" spans="1:7">
      <c r="A486" s="39"/>
      <c r="B486" s="39"/>
      <c r="C486" s="39"/>
      <c r="D486" s="39"/>
      <c r="E486" s="39"/>
      <c r="F486" s="39"/>
      <c r="G486" s="39"/>
    </row>
    <row r="487" spans="1:7">
      <c r="A487" s="40"/>
      <c r="B487" s="40"/>
      <c r="C487" s="40"/>
      <c r="D487" s="40"/>
      <c r="E487" s="40"/>
      <c r="F487" s="40"/>
      <c r="G487" s="40"/>
    </row>
    <row r="488" spans="1:7">
      <c r="A488" s="39"/>
      <c r="B488" s="39"/>
      <c r="C488" s="39"/>
      <c r="D488" s="39"/>
      <c r="E488" s="39"/>
      <c r="F488" s="39"/>
      <c r="G488" s="39"/>
    </row>
    <row r="489" spans="1:7">
      <c r="A489" s="40"/>
      <c r="B489" s="40"/>
      <c r="C489" s="40"/>
      <c r="D489" s="40"/>
      <c r="E489" s="40"/>
      <c r="F489" s="40"/>
      <c r="G489" s="40"/>
    </row>
    <row r="490" spans="1:7">
      <c r="A490" s="39"/>
      <c r="B490" s="39"/>
      <c r="C490" s="39"/>
      <c r="D490" s="39"/>
      <c r="E490" s="39"/>
      <c r="F490" s="39"/>
      <c r="G490" s="39"/>
    </row>
    <row r="491" spans="1:7">
      <c r="A491" s="40"/>
      <c r="B491" s="40"/>
      <c r="C491" s="40"/>
      <c r="D491" s="40"/>
      <c r="E491" s="40"/>
      <c r="F491" s="40"/>
      <c r="G491" s="40"/>
    </row>
    <row r="492" spans="1:7">
      <c r="A492" s="39"/>
      <c r="B492" s="39"/>
      <c r="C492" s="39"/>
      <c r="D492" s="39"/>
      <c r="E492" s="39"/>
      <c r="F492" s="39"/>
      <c r="G492" s="39"/>
    </row>
    <row r="493" spans="1:7">
      <c r="A493" s="40"/>
      <c r="B493" s="40"/>
      <c r="C493" s="40"/>
      <c r="D493" s="40"/>
      <c r="E493" s="40"/>
      <c r="F493" s="40"/>
      <c r="G493" s="40"/>
    </row>
    <row r="494" spans="1:7">
      <c r="A494" s="39"/>
      <c r="B494" s="39"/>
      <c r="C494" s="39"/>
      <c r="D494" s="39"/>
      <c r="E494" s="39"/>
      <c r="F494" s="39"/>
      <c r="G494" s="39"/>
    </row>
    <row r="495" spans="1:7">
      <c r="A495" s="40"/>
      <c r="B495" s="40"/>
      <c r="C495" s="40"/>
      <c r="D495" s="40"/>
      <c r="E495" s="40"/>
      <c r="F495" s="40"/>
      <c r="G495" s="40"/>
    </row>
    <row r="496" spans="1:7">
      <c r="A496" s="39"/>
      <c r="B496" s="39"/>
      <c r="C496" s="39"/>
      <c r="D496" s="39"/>
      <c r="E496" s="39"/>
      <c r="F496" s="39"/>
      <c r="G496" s="39"/>
    </row>
    <row r="497" spans="1:7">
      <c r="A497" s="40"/>
      <c r="B497" s="40"/>
      <c r="C497" s="40"/>
      <c r="D497" s="40"/>
      <c r="E497" s="40"/>
      <c r="F497" s="40"/>
      <c r="G497" s="40"/>
    </row>
    <row r="498" spans="1:7">
      <c r="A498" s="39"/>
      <c r="B498" s="39"/>
      <c r="C498" s="39"/>
      <c r="D498" s="39"/>
      <c r="E498" s="39"/>
      <c r="F498" s="39"/>
      <c r="G498" s="39"/>
    </row>
    <row r="499" spans="1:7">
      <c r="A499" s="40"/>
      <c r="B499" s="40"/>
      <c r="C499" s="40"/>
      <c r="D499" s="40"/>
      <c r="E499" s="40"/>
      <c r="F499" s="40"/>
      <c r="G499" s="40"/>
    </row>
    <row r="500" spans="1:7">
      <c r="A500" s="39"/>
      <c r="B500" s="39"/>
      <c r="C500" s="39"/>
      <c r="D500" s="39"/>
      <c r="E500" s="39"/>
      <c r="F500" s="39"/>
      <c r="G500" s="39"/>
    </row>
    <row r="501" spans="1:7">
      <c r="A501" s="40"/>
      <c r="B501" s="40"/>
      <c r="C501" s="40"/>
      <c r="D501" s="40"/>
      <c r="E501" s="40"/>
      <c r="F501" s="40"/>
      <c r="G501" s="40"/>
    </row>
    <row r="502" spans="1:7">
      <c r="A502" s="39"/>
      <c r="B502" s="39"/>
      <c r="C502" s="39"/>
      <c r="D502" s="39"/>
      <c r="E502" s="39"/>
      <c r="F502" s="39"/>
      <c r="G502" s="39"/>
    </row>
    <row r="503" spans="1:7">
      <c r="A503" s="40"/>
      <c r="B503" s="40"/>
      <c r="C503" s="40"/>
      <c r="D503" s="40"/>
      <c r="E503" s="40"/>
      <c r="F503" s="40"/>
      <c r="G503" s="40"/>
    </row>
    <row r="504" spans="1:7">
      <c r="A504" s="39"/>
      <c r="B504" s="39"/>
      <c r="C504" s="39"/>
      <c r="D504" s="39"/>
      <c r="E504" s="39"/>
      <c r="F504" s="39"/>
      <c r="G504" s="39"/>
    </row>
    <row r="505" spans="1:7">
      <c r="A505" s="40"/>
      <c r="B505" s="40"/>
      <c r="C505" s="40"/>
      <c r="D505" s="40"/>
      <c r="E505" s="40"/>
      <c r="F505" s="40"/>
      <c r="G505" s="40"/>
    </row>
    <row r="506" spans="1:7">
      <c r="A506" s="39"/>
      <c r="B506" s="39"/>
      <c r="C506" s="39"/>
      <c r="D506" s="39"/>
      <c r="E506" s="39"/>
      <c r="F506" s="39"/>
      <c r="G506" s="39"/>
    </row>
    <row r="507" spans="1:7">
      <c r="A507" s="40"/>
      <c r="B507" s="40"/>
      <c r="C507" s="40"/>
      <c r="D507" s="40"/>
      <c r="E507" s="40"/>
      <c r="F507" s="40"/>
      <c r="G507" s="40"/>
    </row>
    <row r="508" spans="1:7">
      <c r="A508" s="39"/>
      <c r="B508" s="39"/>
      <c r="C508" s="39"/>
      <c r="D508" s="39"/>
      <c r="E508" s="39"/>
      <c r="F508" s="39"/>
      <c r="G508" s="39"/>
    </row>
    <row r="509" spans="1:7">
      <c r="A509" s="40"/>
      <c r="B509" s="40"/>
      <c r="C509" s="40"/>
      <c r="D509" s="40"/>
      <c r="E509" s="40"/>
      <c r="F509" s="40"/>
      <c r="G509" s="40"/>
    </row>
    <row r="510" spans="1:7">
      <c r="A510" s="39"/>
      <c r="B510" s="39"/>
      <c r="C510" s="39"/>
      <c r="D510" s="39"/>
      <c r="E510" s="39"/>
      <c r="F510" s="39"/>
      <c r="G510" s="39"/>
    </row>
    <row r="511" spans="1:7">
      <c r="A511" s="40"/>
      <c r="B511" s="40"/>
      <c r="C511" s="40"/>
      <c r="D511" s="40"/>
      <c r="E511" s="40"/>
      <c r="F511" s="40"/>
      <c r="G511" s="40"/>
    </row>
    <row r="512" spans="1:7">
      <c r="A512" s="39"/>
      <c r="B512" s="39"/>
      <c r="C512" s="39"/>
      <c r="D512" s="39"/>
      <c r="E512" s="39"/>
      <c r="F512" s="39"/>
      <c r="G512" s="39"/>
    </row>
    <row r="513" spans="1:7">
      <c r="A513" s="40"/>
      <c r="B513" s="40"/>
      <c r="C513" s="40"/>
      <c r="D513" s="40"/>
      <c r="E513" s="40"/>
      <c r="F513" s="40"/>
      <c r="G513" s="40"/>
    </row>
    <row r="514" spans="1:7">
      <c r="A514" s="39"/>
      <c r="B514" s="39"/>
      <c r="C514" s="39"/>
      <c r="D514" s="39"/>
      <c r="E514" s="39"/>
      <c r="F514" s="39"/>
      <c r="G514" s="39"/>
    </row>
    <row r="515" spans="1:7">
      <c r="A515" s="40"/>
      <c r="B515" s="40"/>
      <c r="C515" s="40"/>
      <c r="D515" s="40"/>
      <c r="E515" s="40"/>
      <c r="F515" s="40"/>
      <c r="G515" s="40"/>
    </row>
    <row r="516" spans="1:7">
      <c r="A516" s="39"/>
      <c r="B516" s="39"/>
      <c r="C516" s="39"/>
      <c r="D516" s="39"/>
      <c r="E516" s="39"/>
      <c r="F516" s="39"/>
      <c r="G516" s="39"/>
    </row>
    <row r="517" spans="1:7">
      <c r="A517" s="40"/>
      <c r="B517" s="40"/>
      <c r="C517" s="40"/>
      <c r="D517" s="40"/>
      <c r="E517" s="40"/>
      <c r="F517" s="40"/>
      <c r="G517" s="40"/>
    </row>
    <row r="518" spans="1:7">
      <c r="A518" s="39"/>
      <c r="B518" s="39"/>
      <c r="C518" s="39"/>
      <c r="D518" s="39"/>
      <c r="E518" s="39"/>
      <c r="F518" s="39"/>
      <c r="G518" s="39"/>
    </row>
    <row r="519" spans="1:7">
      <c r="A519" s="40"/>
      <c r="B519" s="40"/>
      <c r="C519" s="40"/>
      <c r="D519" s="40"/>
      <c r="E519" s="40"/>
      <c r="F519" s="40"/>
      <c r="G519" s="40"/>
    </row>
    <row r="520" spans="1:7">
      <c r="A520" s="39"/>
      <c r="B520" s="39"/>
      <c r="C520" s="39"/>
      <c r="D520" s="39"/>
      <c r="E520" s="39"/>
      <c r="F520" s="39"/>
      <c r="G520" s="39"/>
    </row>
    <row r="521" spans="1:7">
      <c r="A521" s="40"/>
      <c r="B521" s="40"/>
      <c r="C521" s="40"/>
      <c r="D521" s="40"/>
      <c r="E521" s="40"/>
      <c r="F521" s="40"/>
      <c r="G521" s="40"/>
    </row>
    <row r="522" spans="1:7">
      <c r="A522" s="39"/>
      <c r="B522" s="39"/>
      <c r="C522" s="39"/>
      <c r="D522" s="39"/>
      <c r="E522" s="39"/>
      <c r="F522" s="39"/>
      <c r="G522" s="39"/>
    </row>
    <row r="523" spans="1:7">
      <c r="A523" s="40"/>
      <c r="B523" s="40"/>
      <c r="C523" s="40"/>
      <c r="D523" s="40"/>
      <c r="E523" s="40"/>
      <c r="F523" s="40"/>
      <c r="G523" s="40"/>
    </row>
    <row r="524" spans="1:7">
      <c r="A524" s="39"/>
      <c r="B524" s="39"/>
      <c r="C524" s="39"/>
      <c r="D524" s="39"/>
      <c r="E524" s="39"/>
      <c r="F524" s="39"/>
      <c r="G524" s="39"/>
    </row>
    <row r="525" spans="1:7">
      <c r="A525" s="40"/>
      <c r="B525" s="40"/>
      <c r="C525" s="40"/>
      <c r="D525" s="40"/>
      <c r="E525" s="40"/>
      <c r="F525" s="40"/>
      <c r="G525" s="40"/>
    </row>
    <row r="526" spans="1:7">
      <c r="A526" s="39"/>
      <c r="B526" s="39"/>
      <c r="C526" s="39"/>
      <c r="D526" s="39"/>
      <c r="E526" s="39"/>
      <c r="F526" s="39"/>
      <c r="G526" s="39"/>
    </row>
    <row r="527" spans="1:7">
      <c r="A527" s="40"/>
      <c r="B527" s="40"/>
      <c r="C527" s="40"/>
      <c r="D527" s="40"/>
      <c r="E527" s="40"/>
      <c r="F527" s="40"/>
      <c r="G527" s="40"/>
    </row>
    <row r="528" spans="1:7">
      <c r="A528" s="39"/>
      <c r="B528" s="39"/>
      <c r="C528" s="39"/>
      <c r="D528" s="39"/>
      <c r="E528" s="39"/>
      <c r="F528" s="39"/>
      <c r="G528" s="39"/>
    </row>
    <row r="529" spans="1:7">
      <c r="A529" s="40"/>
      <c r="B529" s="40"/>
      <c r="C529" s="40"/>
      <c r="D529" s="40"/>
      <c r="E529" s="40"/>
      <c r="F529" s="40"/>
      <c r="G529" s="40"/>
    </row>
    <row r="530" spans="1:7">
      <c r="A530" s="39"/>
      <c r="B530" s="39"/>
      <c r="C530" s="39"/>
      <c r="D530" s="39"/>
      <c r="E530" s="39"/>
      <c r="F530" s="39"/>
      <c r="G530" s="39"/>
    </row>
    <row r="531" spans="1:7">
      <c r="A531" s="40"/>
      <c r="B531" s="40"/>
      <c r="C531" s="40"/>
      <c r="D531" s="40"/>
      <c r="E531" s="40"/>
      <c r="F531" s="40"/>
      <c r="G531" s="40"/>
    </row>
    <row r="532" spans="1:7">
      <c r="A532" s="39"/>
      <c r="B532" s="39"/>
      <c r="C532" s="39"/>
      <c r="D532" s="39"/>
      <c r="E532" s="39"/>
      <c r="F532" s="39"/>
      <c r="G532" s="39"/>
    </row>
    <row r="533" spans="1:7">
      <c r="A533" s="40"/>
      <c r="B533" s="40"/>
      <c r="C533" s="40"/>
      <c r="D533" s="40"/>
      <c r="E533" s="40"/>
      <c r="F533" s="40"/>
      <c r="G533" s="40"/>
    </row>
    <row r="534" spans="1:7">
      <c r="A534" s="39"/>
      <c r="B534" s="39"/>
      <c r="C534" s="39"/>
      <c r="D534" s="39"/>
      <c r="E534" s="39"/>
      <c r="F534" s="39"/>
      <c r="G534" s="39"/>
    </row>
    <row r="535" spans="1:7">
      <c r="A535" s="40"/>
      <c r="B535" s="40"/>
      <c r="C535" s="40"/>
      <c r="D535" s="40"/>
      <c r="E535" s="40"/>
      <c r="F535" s="40"/>
      <c r="G535" s="40"/>
    </row>
    <row r="536" spans="1:7">
      <c r="A536" s="39"/>
      <c r="B536" s="39"/>
      <c r="C536" s="39"/>
      <c r="D536" s="39"/>
      <c r="E536" s="39"/>
      <c r="F536" s="39"/>
      <c r="G536" s="39"/>
    </row>
    <row r="537" spans="1:7">
      <c r="A537" s="40"/>
      <c r="B537" s="40"/>
      <c r="C537" s="40"/>
      <c r="D537" s="40"/>
      <c r="E537" s="40"/>
      <c r="F537" s="40"/>
      <c r="G537" s="40"/>
    </row>
    <row r="538" spans="1:7">
      <c r="A538" s="39"/>
      <c r="B538" s="39"/>
      <c r="C538" s="39"/>
      <c r="D538" s="39"/>
      <c r="E538" s="39"/>
      <c r="F538" s="39"/>
      <c r="G538" s="39"/>
    </row>
    <row r="539" spans="1:7">
      <c r="A539" s="40"/>
      <c r="B539" s="40"/>
      <c r="C539" s="40"/>
      <c r="D539" s="40"/>
      <c r="E539" s="40"/>
      <c r="F539" s="40"/>
      <c r="G539" s="40"/>
    </row>
    <row r="540" spans="1:7">
      <c r="A540" s="39"/>
      <c r="B540" s="39"/>
      <c r="C540" s="39"/>
      <c r="D540" s="39"/>
      <c r="E540" s="39"/>
      <c r="F540" s="39"/>
      <c r="G540" s="39"/>
    </row>
    <row r="541" spans="1:7">
      <c r="A541" s="40"/>
      <c r="B541" s="40"/>
      <c r="C541" s="40"/>
      <c r="D541" s="40"/>
      <c r="E541" s="40"/>
      <c r="F541" s="40"/>
      <c r="G541" s="40"/>
    </row>
    <row r="542" spans="1:7">
      <c r="A542" s="39"/>
      <c r="B542" s="39"/>
      <c r="C542" s="39"/>
      <c r="D542" s="39"/>
      <c r="E542" s="39"/>
      <c r="F542" s="39"/>
      <c r="G542" s="39"/>
    </row>
    <row r="543" spans="1:7">
      <c r="A543" s="40"/>
      <c r="B543" s="40"/>
      <c r="C543" s="40"/>
      <c r="D543" s="40"/>
      <c r="E543" s="40"/>
      <c r="F543" s="40"/>
      <c r="G543" s="40"/>
    </row>
    <row r="544" spans="1:7">
      <c r="A544" s="39"/>
      <c r="B544" s="39"/>
      <c r="C544" s="39"/>
      <c r="D544" s="39"/>
      <c r="E544" s="39"/>
      <c r="F544" s="39"/>
      <c r="G544" s="39"/>
    </row>
    <row r="545" spans="1:7">
      <c r="A545" s="40"/>
      <c r="B545" s="40"/>
      <c r="C545" s="40"/>
      <c r="D545" s="40"/>
      <c r="E545" s="40"/>
      <c r="F545" s="40"/>
      <c r="G545" s="40"/>
    </row>
    <row r="546" spans="1:7">
      <c r="A546" s="39"/>
      <c r="B546" s="39"/>
      <c r="C546" s="39"/>
      <c r="D546" s="39"/>
      <c r="E546" s="39"/>
      <c r="F546" s="39"/>
      <c r="G546" s="39"/>
    </row>
    <row r="547" spans="1:7">
      <c r="A547" s="40"/>
      <c r="B547" s="40"/>
      <c r="C547" s="40"/>
      <c r="D547" s="40"/>
      <c r="E547" s="40"/>
      <c r="F547" s="40"/>
      <c r="G547" s="40"/>
    </row>
    <row r="548" spans="1:7">
      <c r="A548" s="39"/>
      <c r="B548" s="39"/>
      <c r="C548" s="39"/>
      <c r="D548" s="39"/>
      <c r="E548" s="39"/>
      <c r="F548" s="39"/>
      <c r="G548" s="39"/>
    </row>
    <row r="549" spans="1:7">
      <c r="A549" s="40"/>
      <c r="B549" s="40"/>
      <c r="C549" s="40"/>
      <c r="D549" s="40"/>
      <c r="E549" s="40"/>
      <c r="F549" s="40"/>
      <c r="G549" s="40"/>
    </row>
    <row r="550" spans="1:7">
      <c r="A550" s="39"/>
      <c r="B550" s="39"/>
      <c r="C550" s="39"/>
      <c r="D550" s="39"/>
      <c r="E550" s="39"/>
      <c r="F550" s="39"/>
      <c r="G550" s="39"/>
    </row>
    <row r="551" spans="1:7">
      <c r="A551" s="40"/>
      <c r="B551" s="40"/>
      <c r="C551" s="40"/>
      <c r="D551" s="40"/>
      <c r="E551" s="40"/>
      <c r="F551" s="40"/>
      <c r="G551" s="40"/>
    </row>
    <row r="552" spans="1:7">
      <c r="A552" s="39"/>
      <c r="B552" s="39"/>
      <c r="C552" s="39"/>
      <c r="D552" s="39"/>
      <c r="E552" s="39"/>
      <c r="F552" s="39"/>
      <c r="G552" s="39"/>
    </row>
    <row r="553" spans="1:7">
      <c r="A553" s="40"/>
      <c r="B553" s="40"/>
      <c r="C553" s="40"/>
      <c r="D553" s="40"/>
      <c r="E553" s="40"/>
      <c r="F553" s="40"/>
      <c r="G553" s="40"/>
    </row>
    <row r="554" spans="1:7">
      <c r="A554" s="39"/>
      <c r="B554" s="39"/>
      <c r="C554" s="39"/>
      <c r="D554" s="39"/>
      <c r="E554" s="39"/>
      <c r="F554" s="39"/>
      <c r="G554" s="39"/>
    </row>
    <row r="555" spans="1:7">
      <c r="A555" s="40"/>
      <c r="B555" s="40"/>
      <c r="C555" s="40"/>
      <c r="D555" s="40"/>
      <c r="E555" s="40"/>
      <c r="F555" s="40"/>
      <c r="G555" s="40"/>
    </row>
    <row r="556" spans="1:7">
      <c r="A556" s="39"/>
      <c r="B556" s="39"/>
      <c r="C556" s="39"/>
      <c r="D556" s="39"/>
      <c r="E556" s="39"/>
      <c r="F556" s="39"/>
      <c r="G556" s="39"/>
    </row>
    <row r="557" spans="1:7">
      <c r="A557" s="40"/>
      <c r="B557" s="40"/>
      <c r="C557" s="40"/>
      <c r="D557" s="40"/>
      <c r="E557" s="40"/>
      <c r="F557" s="40"/>
      <c r="G557" s="40"/>
    </row>
    <row r="558" spans="1:7">
      <c r="A558" s="39"/>
      <c r="B558" s="39"/>
      <c r="C558" s="39"/>
      <c r="D558" s="39"/>
      <c r="E558" s="39"/>
      <c r="F558" s="39"/>
      <c r="G558" s="39"/>
    </row>
    <row r="559" spans="1:7">
      <c r="A559" s="40"/>
      <c r="B559" s="40"/>
      <c r="C559" s="40"/>
      <c r="D559" s="40"/>
      <c r="E559" s="40"/>
      <c r="F559" s="40"/>
      <c r="G559" s="40"/>
    </row>
    <row r="560" spans="1:7">
      <c r="A560" s="39"/>
      <c r="B560" s="39"/>
      <c r="C560" s="39"/>
      <c r="D560" s="39"/>
      <c r="E560" s="39"/>
      <c r="F560" s="39"/>
      <c r="G560" s="39"/>
    </row>
    <row r="561" spans="1:7">
      <c r="A561" s="40"/>
      <c r="B561" s="40"/>
      <c r="C561" s="40"/>
      <c r="D561" s="40"/>
      <c r="E561" s="40"/>
      <c r="F561" s="40"/>
      <c r="G561" s="40"/>
    </row>
    <row r="562" spans="1:7">
      <c r="A562" s="39"/>
      <c r="B562" s="39"/>
      <c r="C562" s="39"/>
      <c r="D562" s="39"/>
      <c r="E562" s="39"/>
      <c r="F562" s="39"/>
      <c r="G562" s="39"/>
    </row>
    <row r="563" spans="1:7">
      <c r="A563" s="40"/>
      <c r="B563" s="40"/>
      <c r="C563" s="40"/>
      <c r="D563" s="40"/>
      <c r="E563" s="40"/>
      <c r="F563" s="40"/>
      <c r="G563" s="40"/>
    </row>
    <row r="564" spans="1:7">
      <c r="A564" s="39"/>
      <c r="B564" s="39"/>
      <c r="C564" s="39"/>
      <c r="D564" s="39"/>
      <c r="E564" s="39"/>
      <c r="F564" s="39"/>
      <c r="G564" s="39"/>
    </row>
    <row r="565" spans="1:7">
      <c r="A565" s="40"/>
      <c r="B565" s="40"/>
      <c r="C565" s="40"/>
      <c r="D565" s="40"/>
      <c r="E565" s="40"/>
      <c r="F565" s="40"/>
      <c r="G565" s="40"/>
    </row>
    <row r="566" spans="1:7">
      <c r="A566" s="39"/>
      <c r="B566" s="39"/>
      <c r="C566" s="39"/>
      <c r="D566" s="39"/>
      <c r="E566" s="39"/>
      <c r="F566" s="39"/>
      <c r="G566" s="39"/>
    </row>
    <row r="567" spans="1:7">
      <c r="A567" s="40"/>
      <c r="B567" s="40"/>
      <c r="C567" s="40"/>
      <c r="D567" s="40"/>
      <c r="E567" s="40"/>
      <c r="F567" s="40"/>
      <c r="G567" s="40"/>
    </row>
    <row r="568" spans="1:7">
      <c r="A568" s="39"/>
      <c r="B568" s="39"/>
      <c r="C568" s="39"/>
      <c r="D568" s="39"/>
      <c r="E568" s="39"/>
      <c r="F568" s="39"/>
      <c r="G568" s="39"/>
    </row>
    <row r="569" spans="1:7">
      <c r="A569" s="40"/>
      <c r="B569" s="40"/>
      <c r="C569" s="40"/>
      <c r="D569" s="40"/>
      <c r="E569" s="40"/>
      <c r="F569" s="40"/>
      <c r="G569" s="40"/>
    </row>
    <row r="570" spans="1:7">
      <c r="A570" s="39"/>
      <c r="B570" s="39"/>
      <c r="C570" s="39"/>
      <c r="D570" s="39"/>
      <c r="E570" s="39"/>
      <c r="F570" s="39"/>
      <c r="G570" s="39"/>
    </row>
    <row r="571" spans="1:7">
      <c r="A571" s="40"/>
      <c r="B571" s="40"/>
      <c r="C571" s="40"/>
      <c r="D571" s="40"/>
      <c r="E571" s="40"/>
      <c r="F571" s="40"/>
      <c r="G571" s="40"/>
    </row>
    <row r="572" spans="1:7">
      <c r="A572" s="39"/>
      <c r="B572" s="39"/>
      <c r="C572" s="39"/>
      <c r="D572" s="39"/>
      <c r="E572" s="39"/>
      <c r="F572" s="39"/>
      <c r="G572" s="39"/>
    </row>
    <row r="573" spans="1:7">
      <c r="A573" s="40"/>
      <c r="B573" s="40"/>
      <c r="C573" s="40"/>
      <c r="D573" s="40"/>
      <c r="E573" s="40"/>
      <c r="F573" s="40"/>
      <c r="G573" s="40"/>
    </row>
    <row r="574" spans="1:7">
      <c r="A574" s="39"/>
      <c r="B574" s="39"/>
      <c r="C574" s="39"/>
      <c r="D574" s="39"/>
      <c r="E574" s="39"/>
      <c r="F574" s="39"/>
      <c r="G574" s="39"/>
    </row>
    <row r="575" spans="1:7">
      <c r="A575" s="40"/>
      <c r="B575" s="40"/>
      <c r="C575" s="40"/>
      <c r="D575" s="40"/>
      <c r="E575" s="40"/>
      <c r="F575" s="40"/>
      <c r="G575" s="40"/>
    </row>
    <row r="576" spans="1:7">
      <c r="A576" s="39"/>
      <c r="B576" s="39"/>
      <c r="C576" s="39"/>
      <c r="D576" s="39"/>
      <c r="E576" s="39"/>
      <c r="F576" s="39"/>
      <c r="G576" s="39"/>
    </row>
    <row r="577" spans="1:7">
      <c r="A577" s="40"/>
      <c r="B577" s="40"/>
      <c r="C577" s="40"/>
      <c r="D577" s="40"/>
      <c r="E577" s="40"/>
      <c r="F577" s="40"/>
      <c r="G577" s="40"/>
    </row>
    <row r="578" spans="1:7">
      <c r="A578" s="39"/>
      <c r="B578" s="39"/>
      <c r="C578" s="39"/>
      <c r="D578" s="39"/>
      <c r="E578" s="39"/>
      <c r="F578" s="39"/>
      <c r="G578" s="39"/>
    </row>
    <row r="579" spans="1:7">
      <c r="A579" s="40"/>
      <c r="B579" s="40"/>
      <c r="C579" s="40"/>
      <c r="D579" s="40"/>
      <c r="E579" s="40"/>
      <c r="F579" s="40"/>
      <c r="G579" s="40"/>
    </row>
    <row r="580" spans="1:7">
      <c r="A580" s="39"/>
      <c r="B580" s="39"/>
      <c r="C580" s="39"/>
      <c r="D580" s="39"/>
      <c r="E580" s="39"/>
      <c r="F580" s="39"/>
      <c r="G580" s="39"/>
    </row>
    <row r="581" spans="1:7">
      <c r="A581" s="40"/>
      <c r="B581" s="40"/>
      <c r="C581" s="40"/>
      <c r="D581" s="40"/>
      <c r="E581" s="40"/>
      <c r="F581" s="40"/>
      <c r="G581" s="40"/>
    </row>
    <row r="582" spans="1:7">
      <c r="A582" s="39"/>
      <c r="B582" s="39"/>
      <c r="C582" s="39"/>
      <c r="D582" s="39"/>
      <c r="E582" s="39"/>
      <c r="F582" s="39"/>
      <c r="G582" s="39"/>
    </row>
    <row r="583" spans="1:7">
      <c r="A583" s="40"/>
      <c r="B583" s="40"/>
      <c r="C583" s="40"/>
      <c r="D583" s="40"/>
      <c r="E583" s="40"/>
      <c r="F583" s="40"/>
      <c r="G583" s="40"/>
    </row>
    <row r="584" spans="1:7">
      <c r="A584" s="39"/>
      <c r="B584" s="39"/>
      <c r="C584" s="39"/>
      <c r="D584" s="39"/>
      <c r="E584" s="39"/>
      <c r="F584" s="39"/>
      <c r="G584" s="39"/>
    </row>
    <row r="585" spans="1:7">
      <c r="A585" s="40"/>
      <c r="B585" s="40"/>
      <c r="C585" s="40"/>
      <c r="D585" s="40"/>
      <c r="E585" s="40"/>
      <c r="F585" s="40"/>
      <c r="G585" s="40"/>
    </row>
    <row r="586" spans="1:7">
      <c r="A586" s="39"/>
      <c r="B586" s="39"/>
      <c r="C586" s="39"/>
      <c r="D586" s="39"/>
      <c r="E586" s="39"/>
      <c r="F586" s="39"/>
      <c r="G586" s="39"/>
    </row>
    <row r="587" spans="1:7">
      <c r="A587" s="40"/>
      <c r="B587" s="40"/>
      <c r="C587" s="40"/>
      <c r="D587" s="40"/>
      <c r="E587" s="40"/>
      <c r="F587" s="40"/>
      <c r="G587" s="40"/>
    </row>
    <row r="588" spans="1:7">
      <c r="A588" s="39"/>
      <c r="B588" s="39"/>
      <c r="C588" s="39"/>
      <c r="D588" s="39"/>
      <c r="E588" s="39"/>
      <c r="F588" s="39"/>
      <c r="G588" s="39"/>
    </row>
    <row r="589" spans="1:7">
      <c r="A589" s="40"/>
      <c r="B589" s="40"/>
      <c r="C589" s="40"/>
      <c r="D589" s="40"/>
      <c r="E589" s="40"/>
      <c r="F589" s="40"/>
      <c r="G589" s="40"/>
    </row>
    <row r="590" spans="1:7">
      <c r="A590" s="39"/>
      <c r="B590" s="39"/>
      <c r="C590" s="39"/>
      <c r="D590" s="39"/>
      <c r="E590" s="39"/>
      <c r="F590" s="39"/>
      <c r="G590" s="39"/>
    </row>
    <row r="591" spans="1:7">
      <c r="A591" s="40"/>
      <c r="B591" s="40"/>
      <c r="C591" s="40"/>
      <c r="D591" s="40"/>
      <c r="E591" s="40"/>
      <c r="F591" s="40"/>
      <c r="G591" s="40"/>
    </row>
    <row r="592" spans="1:7">
      <c r="A592" s="39"/>
      <c r="B592" s="39"/>
      <c r="C592" s="39"/>
      <c r="D592" s="39"/>
      <c r="E592" s="39"/>
      <c r="F592" s="39"/>
      <c r="G592" s="39"/>
    </row>
    <row r="593" spans="1:7">
      <c r="A593" s="40"/>
      <c r="B593" s="40"/>
      <c r="C593" s="40"/>
      <c r="D593" s="40"/>
      <c r="E593" s="40"/>
      <c r="F593" s="40"/>
      <c r="G593" s="40"/>
    </row>
    <row r="594" spans="1:7">
      <c r="A594" s="39"/>
      <c r="B594" s="39"/>
      <c r="C594" s="39"/>
      <c r="D594" s="39"/>
      <c r="E594" s="39"/>
      <c r="F594" s="39"/>
      <c r="G594" s="39"/>
    </row>
    <row r="595" spans="1:7">
      <c r="A595" s="40"/>
      <c r="B595" s="40"/>
      <c r="C595" s="40"/>
      <c r="D595" s="40"/>
      <c r="E595" s="40"/>
      <c r="F595" s="40"/>
      <c r="G595" s="40"/>
    </row>
    <row r="596" spans="1:7">
      <c r="A596" s="39"/>
      <c r="B596" s="39"/>
      <c r="C596" s="39"/>
      <c r="D596" s="39"/>
      <c r="E596" s="39"/>
      <c r="F596" s="39"/>
      <c r="G596" s="39"/>
    </row>
    <row r="597" spans="1:7">
      <c r="A597" s="40"/>
      <c r="B597" s="40"/>
      <c r="C597" s="40"/>
      <c r="D597" s="40"/>
      <c r="E597" s="40"/>
      <c r="F597" s="40"/>
      <c r="G597" s="40"/>
    </row>
    <row r="598" spans="1:7">
      <c r="A598" s="39"/>
      <c r="B598" s="39"/>
      <c r="C598" s="39"/>
      <c r="D598" s="39"/>
      <c r="E598" s="39"/>
      <c r="F598" s="39"/>
      <c r="G598" s="39"/>
    </row>
    <row r="599" spans="1:7">
      <c r="A599" s="40"/>
      <c r="B599" s="40"/>
      <c r="C599" s="40"/>
      <c r="D599" s="40"/>
      <c r="E599" s="40"/>
      <c r="F599" s="40"/>
      <c r="G599" s="40"/>
    </row>
    <row r="600" spans="1:7">
      <c r="A600" s="39"/>
      <c r="B600" s="39"/>
      <c r="C600" s="39"/>
      <c r="D600" s="39"/>
      <c r="E600" s="39"/>
      <c r="F600" s="39"/>
      <c r="G600" s="39"/>
    </row>
    <row r="601" spans="1:7">
      <c r="A601" s="40"/>
      <c r="B601" s="40"/>
      <c r="C601" s="40"/>
      <c r="D601" s="40"/>
      <c r="E601" s="40"/>
      <c r="F601" s="40"/>
      <c r="G601" s="40"/>
    </row>
    <row r="602" spans="1:7">
      <c r="A602" s="39"/>
      <c r="B602" s="39"/>
      <c r="C602" s="39"/>
      <c r="D602" s="39"/>
      <c r="E602" s="39"/>
      <c r="F602" s="39"/>
      <c r="G602" s="39"/>
    </row>
    <row r="603" spans="1:7">
      <c r="A603" s="40"/>
      <c r="B603" s="40"/>
      <c r="C603" s="40"/>
      <c r="D603" s="40"/>
      <c r="E603" s="40"/>
      <c r="F603" s="40"/>
      <c r="G603" s="40"/>
    </row>
    <row r="604" spans="1:7">
      <c r="A604" s="39"/>
      <c r="B604" s="39"/>
      <c r="C604" s="39"/>
      <c r="D604" s="39"/>
      <c r="E604" s="39"/>
      <c r="F604" s="39"/>
      <c r="G604" s="39"/>
    </row>
    <row r="605" spans="1:7">
      <c r="A605" s="40"/>
      <c r="B605" s="40"/>
      <c r="C605" s="40"/>
      <c r="D605" s="40"/>
      <c r="E605" s="40"/>
      <c r="F605" s="40"/>
      <c r="G605" s="40"/>
    </row>
    <row r="606" spans="1:7">
      <c r="A606" s="39"/>
      <c r="B606" s="39"/>
      <c r="C606" s="39"/>
      <c r="D606" s="39"/>
      <c r="E606" s="39"/>
      <c r="F606" s="39"/>
      <c r="G606" s="39"/>
    </row>
    <row r="607" spans="1:7">
      <c r="A607" s="40"/>
      <c r="B607" s="40"/>
      <c r="C607" s="40"/>
      <c r="D607" s="40"/>
      <c r="E607" s="40"/>
      <c r="F607" s="40"/>
      <c r="G607" s="40"/>
    </row>
    <row r="608" spans="1:7">
      <c r="A608" s="39"/>
      <c r="B608" s="39"/>
      <c r="C608" s="39"/>
      <c r="D608" s="39"/>
      <c r="E608" s="39"/>
      <c r="F608" s="39"/>
      <c r="G608" s="39"/>
    </row>
    <row r="609" spans="1:7">
      <c r="A609" s="40"/>
      <c r="B609" s="40"/>
      <c r="C609" s="40"/>
      <c r="D609" s="40"/>
      <c r="E609" s="40"/>
      <c r="F609" s="40"/>
      <c r="G609" s="40"/>
    </row>
    <row r="610" spans="1:7">
      <c r="A610" s="39"/>
      <c r="B610" s="39"/>
      <c r="C610" s="39"/>
      <c r="D610" s="39"/>
      <c r="E610" s="39"/>
      <c r="F610" s="39"/>
      <c r="G610" s="39"/>
    </row>
    <row r="611" spans="1:7">
      <c r="A611" s="40"/>
      <c r="B611" s="40"/>
      <c r="C611" s="40"/>
      <c r="D611" s="40"/>
      <c r="E611" s="40"/>
      <c r="F611" s="40"/>
      <c r="G611" s="40"/>
    </row>
    <row r="612" spans="1:7">
      <c r="A612" s="39"/>
      <c r="B612" s="39"/>
      <c r="C612" s="39"/>
      <c r="D612" s="39"/>
      <c r="E612" s="39"/>
      <c r="F612" s="39"/>
      <c r="G612" s="39"/>
    </row>
    <row r="613" spans="1:7">
      <c r="A613" s="40"/>
      <c r="B613" s="40"/>
      <c r="C613" s="40"/>
      <c r="D613" s="40"/>
      <c r="E613" s="40"/>
      <c r="F613" s="40"/>
      <c r="G613" s="40"/>
    </row>
    <row r="614" spans="1:7">
      <c r="A614" s="39"/>
      <c r="B614" s="39"/>
      <c r="C614" s="39"/>
      <c r="D614" s="39"/>
      <c r="E614" s="39"/>
      <c r="F614" s="39"/>
      <c r="G614" s="39"/>
    </row>
    <row r="615" spans="1:7">
      <c r="A615" s="40"/>
      <c r="B615" s="40"/>
      <c r="C615" s="40"/>
      <c r="D615" s="40"/>
      <c r="E615" s="40"/>
      <c r="F615" s="40"/>
      <c r="G615" s="40"/>
    </row>
    <row r="616" spans="1:7">
      <c r="A616" s="39"/>
      <c r="B616" s="39"/>
      <c r="C616" s="39"/>
      <c r="D616" s="39"/>
      <c r="E616" s="39"/>
      <c r="F616" s="39"/>
      <c r="G616" s="39"/>
    </row>
    <row r="617" spans="1:7">
      <c r="A617" s="40"/>
      <c r="B617" s="40"/>
      <c r="C617" s="40"/>
      <c r="D617" s="40"/>
      <c r="E617" s="40"/>
      <c r="F617" s="40"/>
      <c r="G617" s="40"/>
    </row>
    <row r="618" spans="1:7">
      <c r="A618" s="39"/>
      <c r="B618" s="39"/>
      <c r="C618" s="39"/>
      <c r="D618" s="39"/>
      <c r="E618" s="39"/>
      <c r="F618" s="39"/>
      <c r="G618" s="39"/>
    </row>
    <row r="619" spans="1:7">
      <c r="A619" s="40"/>
      <c r="B619" s="40"/>
      <c r="C619" s="40"/>
      <c r="D619" s="40"/>
      <c r="E619" s="40"/>
      <c r="F619" s="40"/>
      <c r="G619" s="40"/>
    </row>
    <row r="620" spans="1:7">
      <c r="A620" s="39"/>
      <c r="B620" s="39"/>
      <c r="C620" s="39"/>
      <c r="D620" s="39"/>
      <c r="E620" s="39"/>
      <c r="F620" s="39"/>
      <c r="G620" s="39"/>
    </row>
    <row r="621" spans="1:7">
      <c r="A621" s="40"/>
      <c r="B621" s="40"/>
      <c r="C621" s="40"/>
      <c r="D621" s="40"/>
      <c r="E621" s="40"/>
      <c r="F621" s="40"/>
      <c r="G621" s="40"/>
    </row>
    <row r="622" spans="1:7">
      <c r="A622" s="39"/>
      <c r="B622" s="39"/>
      <c r="C622" s="39"/>
      <c r="D622" s="39"/>
      <c r="E622" s="39"/>
      <c r="F622" s="39"/>
      <c r="G622" s="39"/>
    </row>
    <row r="623" spans="1:7">
      <c r="A623" s="40"/>
      <c r="B623" s="40"/>
      <c r="C623" s="40"/>
      <c r="D623" s="40"/>
      <c r="E623" s="40"/>
      <c r="F623" s="40"/>
      <c r="G623" s="40"/>
    </row>
    <row r="624" spans="1:7">
      <c r="A624" s="39"/>
      <c r="B624" s="39"/>
      <c r="C624" s="39"/>
      <c r="D624" s="39"/>
      <c r="E624" s="39"/>
      <c r="F624" s="39"/>
      <c r="G624" s="39"/>
    </row>
    <row r="625" spans="1:7">
      <c r="A625" s="40"/>
      <c r="B625" s="40"/>
      <c r="C625" s="40"/>
      <c r="D625" s="40"/>
      <c r="E625" s="40"/>
      <c r="F625" s="40"/>
      <c r="G625" s="40"/>
    </row>
    <row r="626" spans="1:7">
      <c r="A626" s="39"/>
      <c r="B626" s="39"/>
      <c r="C626" s="39"/>
      <c r="D626" s="39"/>
      <c r="E626" s="39"/>
      <c r="F626" s="39"/>
      <c r="G626" s="39"/>
    </row>
    <row r="627" spans="1:7">
      <c r="A627" s="40"/>
      <c r="B627" s="40"/>
      <c r="C627" s="40"/>
      <c r="D627" s="40"/>
      <c r="E627" s="40"/>
      <c r="F627" s="40"/>
      <c r="G627" s="40"/>
    </row>
    <row r="628" spans="1:7">
      <c r="A628" s="39"/>
      <c r="B628" s="39"/>
      <c r="C628" s="39"/>
      <c r="D628" s="39"/>
      <c r="E628" s="39"/>
      <c r="F628" s="39"/>
      <c r="G628" s="39"/>
    </row>
    <row r="629" spans="1:7">
      <c r="A629" s="40"/>
      <c r="B629" s="40"/>
      <c r="C629" s="40"/>
      <c r="D629" s="40"/>
      <c r="E629" s="40"/>
      <c r="F629" s="40"/>
      <c r="G629" s="40"/>
    </row>
    <row r="630" spans="1:7">
      <c r="A630" s="39"/>
      <c r="B630" s="39"/>
      <c r="C630" s="39"/>
      <c r="D630" s="39"/>
      <c r="E630" s="39"/>
      <c r="F630" s="39"/>
      <c r="G630" s="39"/>
    </row>
    <row r="631" spans="1:7">
      <c r="A631" s="40"/>
      <c r="B631" s="40"/>
      <c r="C631" s="40"/>
      <c r="D631" s="40"/>
      <c r="E631" s="40"/>
      <c r="F631" s="40"/>
      <c r="G631" s="40"/>
    </row>
    <row r="632" spans="1:7">
      <c r="A632" s="39"/>
      <c r="B632" s="39"/>
      <c r="C632" s="39"/>
      <c r="D632" s="39"/>
      <c r="E632" s="39"/>
      <c r="F632" s="39"/>
      <c r="G632" s="39"/>
    </row>
    <row r="633" spans="1:7">
      <c r="A633" s="40"/>
      <c r="B633" s="40"/>
      <c r="C633" s="40"/>
      <c r="D633" s="40"/>
      <c r="E633" s="40"/>
      <c r="F633" s="40"/>
      <c r="G633" s="40"/>
    </row>
    <row r="634" spans="1:7">
      <c r="A634" s="39"/>
      <c r="B634" s="39"/>
      <c r="C634" s="39"/>
      <c r="D634" s="39"/>
      <c r="E634" s="39"/>
      <c r="F634" s="39"/>
      <c r="G634" s="39"/>
    </row>
    <row r="635" spans="1:7">
      <c r="A635" s="40"/>
      <c r="B635" s="40"/>
      <c r="C635" s="40"/>
      <c r="D635" s="40"/>
      <c r="E635" s="40"/>
      <c r="F635" s="40"/>
      <c r="G635" s="40"/>
    </row>
    <row r="636" spans="1:7">
      <c r="A636" s="39"/>
      <c r="B636" s="39"/>
      <c r="C636" s="39"/>
      <c r="D636" s="39"/>
      <c r="E636" s="39"/>
      <c r="F636" s="39"/>
      <c r="G636" s="39"/>
    </row>
    <row r="637" spans="1:7">
      <c r="A637" s="40"/>
      <c r="B637" s="40"/>
      <c r="C637" s="40"/>
      <c r="D637" s="40"/>
      <c r="E637" s="40"/>
      <c r="F637" s="40"/>
      <c r="G637" s="40"/>
    </row>
    <row r="638" spans="1:7">
      <c r="A638" s="39"/>
      <c r="B638" s="39"/>
      <c r="C638" s="39"/>
      <c r="D638" s="39"/>
      <c r="E638" s="39"/>
      <c r="F638" s="39"/>
      <c r="G638" s="39"/>
    </row>
    <row r="639" spans="1:7">
      <c r="A639" s="40"/>
      <c r="B639" s="40"/>
      <c r="C639" s="40"/>
      <c r="D639" s="40"/>
      <c r="E639" s="40"/>
      <c r="F639" s="40"/>
      <c r="G639" s="40"/>
    </row>
    <row r="640" spans="1:7">
      <c r="A640" s="39"/>
      <c r="B640" s="39"/>
      <c r="C640" s="39"/>
      <c r="D640" s="39"/>
      <c r="E640" s="39"/>
      <c r="F640" s="39"/>
      <c r="G640" s="39"/>
    </row>
    <row r="641" spans="1:7">
      <c r="A641" s="40"/>
      <c r="B641" s="40"/>
      <c r="C641" s="40"/>
      <c r="D641" s="40"/>
      <c r="E641" s="40"/>
      <c r="F641" s="40"/>
      <c r="G641" s="40"/>
    </row>
    <row r="642" spans="1:7">
      <c r="A642" s="39"/>
      <c r="B642" s="39"/>
      <c r="C642" s="39"/>
      <c r="D642" s="39"/>
      <c r="E642" s="39"/>
      <c r="F642" s="39"/>
      <c r="G642" s="39"/>
    </row>
    <row r="643" spans="1:7">
      <c r="A643" s="40"/>
      <c r="B643" s="40"/>
      <c r="C643" s="40"/>
      <c r="D643" s="40"/>
      <c r="E643" s="40"/>
      <c r="F643" s="40"/>
      <c r="G643" s="40"/>
    </row>
    <row r="644" spans="1:7">
      <c r="A644" s="39"/>
      <c r="B644" s="39"/>
      <c r="C644" s="39"/>
      <c r="D644" s="39"/>
      <c r="E644" s="39"/>
      <c r="F644" s="39"/>
      <c r="G644" s="39"/>
    </row>
    <row r="645" spans="1:7">
      <c r="A645" s="40"/>
      <c r="B645" s="40"/>
      <c r="C645" s="40"/>
      <c r="D645" s="40"/>
      <c r="E645" s="40"/>
      <c r="F645" s="40"/>
      <c r="G645" s="40"/>
    </row>
    <row r="646" spans="1:7">
      <c r="A646" s="39"/>
      <c r="B646" s="39"/>
      <c r="C646" s="39"/>
      <c r="D646" s="39"/>
      <c r="E646" s="39"/>
      <c r="F646" s="39"/>
      <c r="G646" s="39"/>
    </row>
    <row r="647" spans="1:7">
      <c r="A647" s="40"/>
      <c r="B647" s="40"/>
      <c r="C647" s="40"/>
      <c r="D647" s="40"/>
      <c r="E647" s="40"/>
      <c r="F647" s="40"/>
      <c r="G647" s="40"/>
    </row>
    <row r="648" spans="1:7">
      <c r="A648" s="39"/>
      <c r="B648" s="39"/>
      <c r="C648" s="39"/>
      <c r="D648" s="39"/>
      <c r="E648" s="39"/>
      <c r="F648" s="39"/>
      <c r="G648" s="39"/>
    </row>
    <row r="649" spans="1:7">
      <c r="A649" s="40"/>
      <c r="B649" s="40"/>
      <c r="C649" s="40"/>
      <c r="D649" s="40"/>
      <c r="E649" s="40"/>
      <c r="F649" s="40"/>
      <c r="G649" s="40"/>
    </row>
    <row r="650" spans="1:7">
      <c r="A650" s="39"/>
      <c r="B650" s="39"/>
      <c r="C650" s="39"/>
      <c r="D650" s="39"/>
      <c r="E650" s="39"/>
      <c r="F650" s="39"/>
      <c r="G650" s="39"/>
    </row>
    <row r="651" spans="1:7">
      <c r="A651" s="40"/>
      <c r="B651" s="40"/>
      <c r="C651" s="40"/>
      <c r="D651" s="40"/>
      <c r="E651" s="40"/>
      <c r="F651" s="40"/>
      <c r="G651" s="40"/>
    </row>
    <row r="652" spans="1:7">
      <c r="A652" s="39"/>
      <c r="B652" s="39"/>
      <c r="C652" s="39"/>
      <c r="D652" s="39"/>
      <c r="E652" s="39"/>
      <c r="F652" s="39"/>
      <c r="G652" s="39"/>
    </row>
    <row r="653" spans="1:7">
      <c r="A653" s="40"/>
      <c r="B653" s="40"/>
      <c r="C653" s="40"/>
      <c r="D653" s="40"/>
      <c r="E653" s="40"/>
      <c r="F653" s="40"/>
      <c r="G653" s="40"/>
    </row>
    <row r="654" spans="1:7">
      <c r="A654" s="39"/>
      <c r="B654" s="39"/>
      <c r="C654" s="39"/>
      <c r="D654" s="39"/>
      <c r="E654" s="39"/>
      <c r="F654" s="39"/>
      <c r="G654" s="39"/>
    </row>
    <row r="655" spans="1:7">
      <c r="A655" s="40"/>
      <c r="B655" s="40"/>
      <c r="C655" s="40"/>
      <c r="D655" s="40"/>
      <c r="E655" s="40"/>
      <c r="F655" s="40"/>
      <c r="G655" s="40"/>
    </row>
    <row r="656" spans="1:7">
      <c r="A656" s="39"/>
      <c r="B656" s="39"/>
      <c r="C656" s="39"/>
      <c r="D656" s="39"/>
      <c r="E656" s="39"/>
      <c r="F656" s="39"/>
      <c r="G656" s="39"/>
    </row>
    <row r="657" spans="1:7">
      <c r="A657" s="40"/>
      <c r="B657" s="40"/>
      <c r="C657" s="40"/>
      <c r="D657" s="40"/>
      <c r="E657" s="40"/>
      <c r="F657" s="40"/>
      <c r="G657" s="40"/>
    </row>
    <row r="658" spans="1:7">
      <c r="A658" s="39"/>
      <c r="B658" s="39"/>
      <c r="C658" s="39"/>
      <c r="D658" s="39"/>
      <c r="E658" s="39"/>
      <c r="F658" s="39"/>
      <c r="G658" s="39"/>
    </row>
    <row r="659" spans="1:7">
      <c r="A659" s="40"/>
      <c r="B659" s="40"/>
      <c r="C659" s="40"/>
      <c r="D659" s="40"/>
      <c r="E659" s="40"/>
      <c r="F659" s="40"/>
      <c r="G659" s="40"/>
    </row>
    <row r="660" spans="1:7">
      <c r="A660" s="39"/>
      <c r="B660" s="39"/>
      <c r="C660" s="39"/>
      <c r="D660" s="39"/>
      <c r="E660" s="39"/>
      <c r="F660" s="39"/>
      <c r="G660" s="39"/>
    </row>
    <row r="661" spans="1:7">
      <c r="A661" s="40"/>
      <c r="B661" s="40"/>
      <c r="C661" s="40"/>
      <c r="D661" s="40"/>
      <c r="E661" s="40"/>
      <c r="F661" s="40"/>
      <c r="G661" s="40"/>
    </row>
    <row r="662" spans="1:7">
      <c r="A662" s="39"/>
      <c r="B662" s="39"/>
      <c r="C662" s="39"/>
      <c r="D662" s="39"/>
      <c r="E662" s="39"/>
      <c r="F662" s="39"/>
      <c r="G662" s="39"/>
    </row>
    <row r="663" spans="1:7">
      <c r="A663" s="40"/>
      <c r="B663" s="40"/>
      <c r="C663" s="40"/>
      <c r="D663" s="40"/>
      <c r="E663" s="40"/>
      <c r="F663" s="40"/>
      <c r="G663" s="40"/>
    </row>
    <row r="664" spans="1:7">
      <c r="A664" s="39"/>
      <c r="B664" s="39"/>
      <c r="C664" s="39"/>
      <c r="D664" s="39"/>
      <c r="E664" s="39"/>
      <c r="F664" s="39"/>
      <c r="G664" s="39"/>
    </row>
    <row r="665" spans="1:7">
      <c r="A665" s="40"/>
      <c r="B665" s="40"/>
      <c r="C665" s="40"/>
      <c r="D665" s="40"/>
      <c r="E665" s="40"/>
      <c r="F665" s="40"/>
      <c r="G665" s="40"/>
    </row>
    <row r="666" spans="1:7">
      <c r="A666" s="39"/>
      <c r="B666" s="39"/>
      <c r="C666" s="39"/>
      <c r="D666" s="39"/>
      <c r="E666" s="39"/>
      <c r="F666" s="39"/>
      <c r="G666" s="39"/>
    </row>
    <row r="667" spans="1:7">
      <c r="A667" s="40"/>
      <c r="B667" s="40"/>
      <c r="C667" s="40"/>
      <c r="D667" s="40"/>
      <c r="E667" s="40"/>
      <c r="F667" s="40"/>
      <c r="G667" s="40"/>
    </row>
    <row r="668" spans="1:7">
      <c r="A668" s="39"/>
      <c r="B668" s="39"/>
      <c r="C668" s="39"/>
      <c r="D668" s="39"/>
      <c r="E668" s="39"/>
      <c r="F668" s="39"/>
      <c r="G668" s="39"/>
    </row>
    <row r="669" spans="1:7">
      <c r="A669" s="40"/>
      <c r="B669" s="40"/>
      <c r="C669" s="40"/>
      <c r="D669" s="40"/>
      <c r="E669" s="40"/>
      <c r="F669" s="40"/>
      <c r="G669" s="40"/>
    </row>
    <row r="670" spans="1:7">
      <c r="A670" s="39"/>
      <c r="B670" s="39"/>
      <c r="C670" s="39"/>
      <c r="D670" s="39"/>
      <c r="E670" s="39"/>
      <c r="F670" s="39"/>
      <c r="G670" s="39"/>
    </row>
    <row r="671" spans="1:7">
      <c r="A671" s="40"/>
      <c r="B671" s="40"/>
      <c r="C671" s="40"/>
      <c r="D671" s="40"/>
      <c r="E671" s="40"/>
      <c r="F671" s="40"/>
      <c r="G671" s="40"/>
    </row>
    <row r="672" spans="1:7">
      <c r="A672" s="39"/>
      <c r="B672" s="39"/>
      <c r="C672" s="39"/>
      <c r="D672" s="39"/>
      <c r="E672" s="39"/>
      <c r="F672" s="39"/>
      <c r="G672" s="39"/>
    </row>
    <row r="673" spans="1:7">
      <c r="A673" s="40"/>
      <c r="B673" s="40"/>
      <c r="C673" s="40"/>
      <c r="D673" s="40"/>
      <c r="E673" s="40"/>
      <c r="F673" s="40"/>
      <c r="G673" s="40"/>
    </row>
    <row r="674" spans="1:7">
      <c r="A674" s="39"/>
      <c r="B674" s="39"/>
      <c r="C674" s="39"/>
      <c r="D674" s="39"/>
      <c r="E674" s="39"/>
      <c r="F674" s="39"/>
      <c r="G674" s="39"/>
    </row>
    <row r="675" spans="1:7">
      <c r="A675" s="40"/>
      <c r="B675" s="40"/>
      <c r="C675" s="40"/>
      <c r="D675" s="40"/>
      <c r="E675" s="40"/>
      <c r="F675" s="40"/>
      <c r="G675" s="40"/>
    </row>
    <row r="676" spans="1:7">
      <c r="A676" s="39"/>
      <c r="B676" s="39"/>
      <c r="C676" s="39"/>
      <c r="D676" s="39"/>
      <c r="E676" s="39"/>
      <c r="F676" s="39"/>
      <c r="G676" s="39"/>
    </row>
    <row r="677" spans="1:7">
      <c r="A677" s="40"/>
      <c r="B677" s="40"/>
      <c r="C677" s="40"/>
      <c r="D677" s="40"/>
      <c r="E677" s="40"/>
      <c r="F677" s="40"/>
      <c r="G677" s="40"/>
    </row>
    <row r="678" spans="1:7">
      <c r="A678" s="39"/>
      <c r="B678" s="39"/>
      <c r="C678" s="39"/>
      <c r="D678" s="39"/>
      <c r="E678" s="39"/>
      <c r="F678" s="39"/>
      <c r="G678" s="39"/>
    </row>
    <row r="679" spans="1:7">
      <c r="A679" s="40"/>
      <c r="B679" s="40"/>
      <c r="C679" s="40"/>
      <c r="D679" s="40"/>
      <c r="E679" s="40"/>
      <c r="F679" s="40"/>
      <c r="G679" s="40"/>
    </row>
    <row r="680" spans="1:7">
      <c r="A680" s="39"/>
      <c r="B680" s="39"/>
      <c r="C680" s="39"/>
      <c r="D680" s="39"/>
      <c r="E680" s="39"/>
      <c r="F680" s="39"/>
      <c r="G680" s="39"/>
    </row>
    <row r="681" spans="1:7">
      <c r="A681" s="40"/>
      <c r="B681" s="40"/>
      <c r="C681" s="40"/>
      <c r="D681" s="40"/>
      <c r="E681" s="40"/>
      <c r="F681" s="40"/>
      <c r="G681" s="40"/>
    </row>
    <row r="682" spans="1:7">
      <c r="A682" s="39"/>
      <c r="B682" s="39"/>
      <c r="C682" s="39"/>
      <c r="D682" s="39"/>
      <c r="E682" s="39"/>
      <c r="F682" s="39"/>
      <c r="G682" s="39"/>
    </row>
    <row r="683" spans="1:7">
      <c r="A683" s="40"/>
      <c r="B683" s="40"/>
      <c r="C683" s="40"/>
      <c r="D683" s="40"/>
      <c r="E683" s="40"/>
      <c r="F683" s="40"/>
      <c r="G683" s="40"/>
    </row>
    <row r="684" spans="1:7">
      <c r="A684" s="39"/>
      <c r="B684" s="39"/>
      <c r="C684" s="39"/>
      <c r="D684" s="39"/>
      <c r="E684" s="39"/>
      <c r="F684" s="39"/>
      <c r="G684" s="39"/>
    </row>
    <row r="685" spans="1:7">
      <c r="A685" s="40"/>
      <c r="B685" s="40"/>
      <c r="C685" s="40"/>
      <c r="D685" s="40"/>
      <c r="E685" s="40"/>
      <c r="F685" s="40"/>
      <c r="G685" s="40"/>
    </row>
    <row r="686" spans="1:7">
      <c r="A686" s="39"/>
      <c r="B686" s="39"/>
      <c r="C686" s="39"/>
      <c r="D686" s="39"/>
      <c r="E686" s="39"/>
      <c r="F686" s="39"/>
      <c r="G686" s="39"/>
    </row>
    <row r="687" spans="1:7">
      <c r="A687" s="40"/>
      <c r="B687" s="40"/>
      <c r="C687" s="40"/>
      <c r="D687" s="40"/>
      <c r="E687" s="40"/>
      <c r="F687" s="40"/>
      <c r="G687" s="40"/>
    </row>
    <row r="688" spans="1:7">
      <c r="A688" s="39"/>
      <c r="B688" s="39"/>
      <c r="C688" s="39"/>
      <c r="D688" s="39"/>
      <c r="E688" s="39"/>
      <c r="F688" s="39"/>
      <c r="G688" s="39"/>
    </row>
    <row r="689" spans="1:7">
      <c r="A689" s="40"/>
      <c r="B689" s="40"/>
      <c r="C689" s="40"/>
      <c r="D689" s="40"/>
      <c r="E689" s="40"/>
      <c r="F689" s="40"/>
      <c r="G689" s="40"/>
    </row>
    <row r="690" spans="1:7">
      <c r="A690" s="39"/>
      <c r="B690" s="39"/>
      <c r="C690" s="39"/>
      <c r="D690" s="39"/>
      <c r="E690" s="39"/>
      <c r="F690" s="39"/>
      <c r="G690" s="39"/>
    </row>
    <row r="691" spans="1:7">
      <c r="A691" s="40"/>
      <c r="B691" s="40"/>
      <c r="C691" s="40"/>
      <c r="D691" s="40"/>
      <c r="E691" s="40"/>
      <c r="F691" s="40"/>
      <c r="G691" s="40"/>
    </row>
    <row r="692" spans="1:7">
      <c r="A692" s="39"/>
      <c r="B692" s="39"/>
      <c r="C692" s="39"/>
      <c r="D692" s="39"/>
      <c r="E692" s="39"/>
      <c r="F692" s="39"/>
      <c r="G692" s="39"/>
    </row>
    <row r="693" spans="1:7">
      <c r="A693" s="40"/>
      <c r="B693" s="40"/>
      <c r="C693" s="40"/>
      <c r="D693" s="40"/>
      <c r="E693" s="40"/>
      <c r="F693" s="40"/>
      <c r="G693" s="40"/>
    </row>
    <row r="694" spans="1:7">
      <c r="A694" s="39"/>
      <c r="B694" s="39"/>
      <c r="C694" s="39"/>
      <c r="D694" s="39"/>
      <c r="E694" s="39"/>
      <c r="F694" s="39"/>
      <c r="G694" s="39"/>
    </row>
    <row r="695" spans="1:7">
      <c r="A695" s="40"/>
      <c r="B695" s="40"/>
      <c r="C695" s="40"/>
      <c r="D695" s="40"/>
      <c r="E695" s="40"/>
      <c r="F695" s="40"/>
      <c r="G695" s="40"/>
    </row>
    <row r="696" spans="1:7">
      <c r="A696" s="39"/>
      <c r="B696" s="39"/>
      <c r="C696" s="39"/>
      <c r="D696" s="39"/>
      <c r="E696" s="39"/>
      <c r="F696" s="39"/>
      <c r="G696" s="39"/>
    </row>
    <row r="697" spans="1:7">
      <c r="A697" s="40"/>
      <c r="B697" s="40"/>
      <c r="C697" s="40"/>
      <c r="D697" s="40"/>
      <c r="E697" s="40"/>
      <c r="F697" s="40"/>
      <c r="G697" s="40"/>
    </row>
    <row r="698" spans="1:7">
      <c r="A698" s="39"/>
      <c r="B698" s="39"/>
      <c r="C698" s="39"/>
      <c r="D698" s="39"/>
      <c r="E698" s="39"/>
      <c r="F698" s="39"/>
      <c r="G698" s="39"/>
    </row>
    <row r="699" spans="1:7">
      <c r="A699" s="40"/>
      <c r="B699" s="40"/>
      <c r="C699" s="40"/>
      <c r="D699" s="40"/>
      <c r="E699" s="40"/>
      <c r="F699" s="40"/>
      <c r="G699" s="40"/>
    </row>
    <row r="700" spans="1:7">
      <c r="A700" s="39"/>
      <c r="B700" s="39"/>
      <c r="C700" s="39"/>
      <c r="D700" s="39"/>
      <c r="E700" s="39"/>
      <c r="F700" s="39"/>
      <c r="G700" s="39"/>
    </row>
    <row r="701" spans="1:7">
      <c r="A701" s="40"/>
      <c r="B701" s="40"/>
      <c r="C701" s="40"/>
      <c r="D701" s="40"/>
      <c r="E701" s="40"/>
      <c r="F701" s="40"/>
      <c r="G701" s="40"/>
    </row>
    <row r="702" spans="1:7">
      <c r="A702" s="39"/>
      <c r="B702" s="39"/>
      <c r="C702" s="39"/>
      <c r="D702" s="39"/>
      <c r="E702" s="39"/>
      <c r="F702" s="39"/>
      <c r="G702" s="39"/>
    </row>
    <row r="703" spans="1:7">
      <c r="A703" s="40"/>
      <c r="B703" s="40"/>
      <c r="C703" s="40"/>
      <c r="D703" s="40"/>
      <c r="E703" s="40"/>
      <c r="F703" s="40"/>
      <c r="G703" s="40"/>
    </row>
    <row r="704" spans="1:7">
      <c r="A704" s="39"/>
      <c r="B704" s="39"/>
      <c r="C704" s="39"/>
      <c r="D704" s="39"/>
      <c r="E704" s="39"/>
      <c r="F704" s="39"/>
      <c r="G704" s="39"/>
    </row>
    <row r="705" spans="1:7">
      <c r="A705" s="40"/>
      <c r="B705" s="40"/>
      <c r="C705" s="40"/>
      <c r="D705" s="40"/>
      <c r="E705" s="40"/>
      <c r="F705" s="40"/>
      <c r="G705" s="40"/>
    </row>
    <row r="706" spans="1:7">
      <c r="A706" s="39"/>
      <c r="B706" s="39"/>
      <c r="C706" s="39"/>
      <c r="D706" s="39"/>
      <c r="E706" s="39"/>
      <c r="F706" s="39"/>
      <c r="G706" s="39"/>
    </row>
    <row r="707" spans="1:7">
      <c r="A707" s="40"/>
      <c r="B707" s="40"/>
      <c r="C707" s="40"/>
      <c r="D707" s="40"/>
      <c r="E707" s="40"/>
      <c r="F707" s="40"/>
      <c r="G707" s="40"/>
    </row>
    <row r="708" spans="1:7">
      <c r="A708" s="39"/>
      <c r="B708" s="39"/>
      <c r="C708" s="39"/>
      <c r="D708" s="39"/>
      <c r="E708" s="39"/>
      <c r="F708" s="39"/>
      <c r="G708" s="39"/>
    </row>
    <row r="709" spans="1:7">
      <c r="A709" s="40"/>
      <c r="B709" s="40"/>
      <c r="C709" s="40"/>
      <c r="D709" s="40"/>
      <c r="E709" s="40"/>
      <c r="F709" s="40"/>
      <c r="G709" s="40"/>
    </row>
    <row r="710" spans="1:7">
      <c r="A710" s="39"/>
      <c r="B710" s="39"/>
      <c r="C710" s="39"/>
      <c r="D710" s="39"/>
      <c r="E710" s="39"/>
      <c r="F710" s="39"/>
      <c r="G710" s="39"/>
    </row>
    <row r="711" spans="1:7">
      <c r="A711" s="40"/>
      <c r="B711" s="40"/>
      <c r="C711" s="40"/>
      <c r="D711" s="40"/>
      <c r="E711" s="40"/>
      <c r="F711" s="40"/>
      <c r="G711" s="40"/>
    </row>
    <row r="712" spans="1:7">
      <c r="A712" s="39"/>
      <c r="B712" s="39"/>
      <c r="C712" s="39"/>
      <c r="D712" s="39"/>
      <c r="E712" s="39"/>
      <c r="F712" s="39"/>
      <c r="G712" s="39"/>
    </row>
    <row r="713" spans="1:7">
      <c r="A713" s="40"/>
      <c r="B713" s="40"/>
      <c r="C713" s="40"/>
      <c r="D713" s="40"/>
      <c r="E713" s="40"/>
      <c r="F713" s="40"/>
      <c r="G713" s="40"/>
    </row>
    <row r="714" spans="1:7">
      <c r="A714" s="39"/>
      <c r="B714" s="39"/>
      <c r="C714" s="39"/>
      <c r="D714" s="39"/>
      <c r="E714" s="39"/>
      <c r="F714" s="39"/>
      <c r="G714" s="39"/>
    </row>
    <row r="715" spans="1:7">
      <c r="A715" s="40"/>
      <c r="B715" s="40"/>
      <c r="C715" s="40"/>
      <c r="D715" s="40"/>
      <c r="E715" s="40"/>
      <c r="F715" s="40"/>
      <c r="G715" s="40"/>
    </row>
    <row r="716" spans="1:7">
      <c r="A716" s="39"/>
      <c r="B716" s="39"/>
      <c r="C716" s="39"/>
      <c r="D716" s="39"/>
      <c r="E716" s="39"/>
      <c r="F716" s="39"/>
      <c r="G716" s="39"/>
    </row>
    <row r="717" spans="1:7">
      <c r="A717" s="40"/>
      <c r="B717" s="40"/>
      <c r="C717" s="40"/>
      <c r="D717" s="40"/>
      <c r="E717" s="40"/>
      <c r="F717" s="40"/>
      <c r="G717" s="40"/>
    </row>
    <row r="718" spans="1:7">
      <c r="A718" s="39"/>
      <c r="B718" s="39"/>
      <c r="C718" s="39"/>
      <c r="D718" s="39"/>
      <c r="E718" s="39"/>
      <c r="F718" s="39"/>
      <c r="G718" s="39"/>
    </row>
    <row r="719" spans="1:7">
      <c r="A719" s="40"/>
      <c r="B719" s="40"/>
      <c r="C719" s="40"/>
      <c r="D719" s="40"/>
      <c r="E719" s="40"/>
      <c r="F719" s="40"/>
      <c r="G719" s="40"/>
    </row>
    <row r="720" spans="1:7">
      <c r="A720" s="39"/>
      <c r="B720" s="39"/>
      <c r="C720" s="39"/>
      <c r="D720" s="39"/>
      <c r="E720" s="39"/>
      <c r="F720" s="39"/>
      <c r="G720" s="39"/>
    </row>
    <row r="721" spans="1:7">
      <c r="A721" s="40"/>
      <c r="B721" s="40"/>
      <c r="C721" s="40"/>
      <c r="D721" s="40"/>
      <c r="E721" s="40"/>
      <c r="F721" s="40"/>
      <c r="G721" s="40"/>
    </row>
    <row r="722" spans="1:7">
      <c r="A722" s="39"/>
      <c r="B722" s="39"/>
      <c r="C722" s="39"/>
      <c r="D722" s="39"/>
      <c r="E722" s="39"/>
      <c r="F722" s="39"/>
      <c r="G722" s="39"/>
    </row>
    <row r="723" spans="1:7">
      <c r="A723" s="40"/>
      <c r="B723" s="40"/>
      <c r="C723" s="40"/>
      <c r="D723" s="40"/>
      <c r="E723" s="40"/>
      <c r="F723" s="40"/>
      <c r="G723" s="40"/>
    </row>
    <row r="724" spans="1:7">
      <c r="A724" s="39"/>
      <c r="B724" s="39"/>
      <c r="C724" s="39"/>
      <c r="D724" s="39"/>
      <c r="E724" s="39"/>
      <c r="F724" s="39"/>
      <c r="G724" s="39"/>
    </row>
    <row r="725" spans="1:7">
      <c r="A725" s="40"/>
      <c r="B725" s="40"/>
      <c r="C725" s="40"/>
      <c r="D725" s="40"/>
      <c r="E725" s="40"/>
      <c r="F725" s="40"/>
      <c r="G725" s="40"/>
    </row>
    <row r="726" spans="1:7">
      <c r="A726" s="39"/>
      <c r="B726" s="39"/>
      <c r="C726" s="39"/>
      <c r="D726" s="39"/>
      <c r="E726" s="39"/>
      <c r="F726" s="39"/>
      <c r="G726" s="39"/>
    </row>
    <row r="727" spans="1:7">
      <c r="A727" s="40"/>
      <c r="B727" s="40"/>
      <c r="C727" s="40"/>
      <c r="D727" s="40"/>
      <c r="E727" s="40"/>
      <c r="F727" s="40"/>
      <c r="G727" s="40"/>
    </row>
    <row r="728" spans="1:7">
      <c r="A728" s="39"/>
      <c r="B728" s="39"/>
      <c r="C728" s="39"/>
      <c r="D728" s="39"/>
      <c r="E728" s="39"/>
      <c r="F728" s="39"/>
      <c r="G728" s="39"/>
    </row>
    <row r="729" spans="1:7">
      <c r="A729" s="40"/>
      <c r="B729" s="40"/>
      <c r="C729" s="40"/>
      <c r="D729" s="40"/>
      <c r="E729" s="40"/>
      <c r="F729" s="40"/>
      <c r="G729" s="40"/>
    </row>
    <row r="730" spans="1:7">
      <c r="A730" s="39"/>
      <c r="B730" s="39"/>
      <c r="C730" s="39"/>
      <c r="D730" s="39"/>
      <c r="E730" s="39"/>
      <c r="F730" s="39"/>
      <c r="G730" s="39"/>
    </row>
    <row r="731" spans="1:7">
      <c r="A731" s="40"/>
      <c r="B731" s="40"/>
      <c r="C731" s="40"/>
      <c r="D731" s="40"/>
      <c r="E731" s="40"/>
      <c r="F731" s="40"/>
      <c r="G731" s="40"/>
    </row>
    <row r="732" spans="1:7">
      <c r="A732" s="39"/>
      <c r="B732" s="39"/>
      <c r="C732" s="39"/>
      <c r="D732" s="39"/>
      <c r="E732" s="39"/>
      <c r="F732" s="39"/>
      <c r="G732" s="39"/>
    </row>
    <row r="733" spans="1:7">
      <c r="A733" s="40"/>
      <c r="B733" s="40"/>
      <c r="C733" s="40"/>
      <c r="D733" s="40"/>
      <c r="E733" s="40"/>
      <c r="F733" s="40"/>
      <c r="G733" s="40"/>
    </row>
    <row r="734" spans="1:7">
      <c r="A734" s="39"/>
      <c r="B734" s="39"/>
      <c r="C734" s="39"/>
      <c r="D734" s="39"/>
      <c r="E734" s="39"/>
      <c r="F734" s="39"/>
      <c r="G734" s="39"/>
    </row>
    <row r="735" spans="1:7">
      <c r="A735" s="40"/>
      <c r="B735" s="40"/>
      <c r="C735" s="40"/>
      <c r="D735" s="40"/>
      <c r="E735" s="40"/>
      <c r="F735" s="40"/>
      <c r="G735" s="40"/>
    </row>
    <row r="736" spans="1:7">
      <c r="A736" s="39"/>
      <c r="B736" s="39"/>
      <c r="C736" s="39"/>
      <c r="D736" s="39"/>
      <c r="E736" s="39"/>
      <c r="F736" s="39"/>
      <c r="G736" s="39"/>
    </row>
    <row r="737" spans="1:7">
      <c r="A737" s="40"/>
      <c r="B737" s="40"/>
      <c r="C737" s="40"/>
      <c r="D737" s="40"/>
      <c r="E737" s="40"/>
      <c r="F737" s="40"/>
      <c r="G737" s="40"/>
    </row>
    <row r="738" spans="1:7">
      <c r="A738" s="39"/>
      <c r="B738" s="39"/>
      <c r="C738" s="39"/>
      <c r="D738" s="39"/>
      <c r="E738" s="39"/>
      <c r="F738" s="39"/>
      <c r="G738" s="39"/>
    </row>
    <row r="739" spans="1:7">
      <c r="A739" s="40"/>
      <c r="B739" s="40"/>
      <c r="C739" s="40"/>
      <c r="D739" s="40"/>
      <c r="E739" s="40"/>
      <c r="F739" s="40"/>
      <c r="G739" s="40"/>
    </row>
    <row r="740" spans="1:7">
      <c r="A740" s="39"/>
      <c r="B740" s="39"/>
      <c r="C740" s="39"/>
      <c r="D740" s="39"/>
      <c r="E740" s="39"/>
      <c r="F740" s="39"/>
      <c r="G740" s="39"/>
    </row>
    <row r="741" spans="1:7">
      <c r="A741" s="40"/>
      <c r="B741" s="40"/>
      <c r="C741" s="40"/>
      <c r="D741" s="40"/>
      <c r="E741" s="40"/>
      <c r="F741" s="40"/>
      <c r="G741" s="40"/>
    </row>
    <row r="742" spans="1:7">
      <c r="A742" s="39"/>
      <c r="B742" s="39"/>
      <c r="C742" s="39"/>
      <c r="D742" s="39"/>
      <c r="E742" s="39"/>
      <c r="F742" s="39"/>
      <c r="G742" s="39"/>
    </row>
    <row r="743" spans="1:7">
      <c r="A743" s="40"/>
      <c r="B743" s="40"/>
      <c r="C743" s="40"/>
      <c r="D743" s="40"/>
      <c r="E743" s="40"/>
      <c r="F743" s="40"/>
      <c r="G743" s="40"/>
    </row>
    <row r="744" spans="1:7">
      <c r="A744" s="39"/>
      <c r="B744" s="39"/>
      <c r="C744" s="39"/>
      <c r="D744" s="39"/>
      <c r="E744" s="39"/>
      <c r="F744" s="39"/>
      <c r="G744" s="39"/>
    </row>
    <row r="745" spans="1:7">
      <c r="A745" s="40"/>
      <c r="B745" s="40"/>
      <c r="C745" s="40"/>
      <c r="D745" s="40"/>
      <c r="E745" s="40"/>
      <c r="F745" s="40"/>
      <c r="G745" s="40"/>
    </row>
    <row r="746" spans="1:7">
      <c r="A746" s="39"/>
      <c r="B746" s="39"/>
      <c r="C746" s="39"/>
      <c r="D746" s="39"/>
      <c r="E746" s="39"/>
      <c r="F746" s="39"/>
      <c r="G746" s="39"/>
    </row>
    <row r="747" spans="1:7">
      <c r="A747" s="40"/>
      <c r="B747" s="40"/>
      <c r="C747" s="40"/>
      <c r="D747" s="40"/>
      <c r="E747" s="40"/>
      <c r="F747" s="40"/>
      <c r="G747" s="40"/>
    </row>
    <row r="748" spans="1:7">
      <c r="A748" s="39"/>
      <c r="B748" s="39"/>
      <c r="C748" s="39"/>
      <c r="D748" s="39"/>
      <c r="E748" s="39"/>
      <c r="F748" s="39"/>
      <c r="G748" s="39"/>
    </row>
    <row r="749" spans="1:7">
      <c r="A749" s="40"/>
      <c r="B749" s="40"/>
      <c r="C749" s="40"/>
      <c r="D749" s="40"/>
      <c r="E749" s="40"/>
      <c r="F749" s="40"/>
      <c r="G749" s="40"/>
    </row>
    <row r="750" spans="1:7">
      <c r="A750" s="39"/>
      <c r="B750" s="39"/>
      <c r="C750" s="39"/>
      <c r="D750" s="39"/>
      <c r="E750" s="39"/>
      <c r="F750" s="39"/>
      <c r="G750" s="39"/>
    </row>
    <row r="751" spans="1:7">
      <c r="A751" s="40"/>
      <c r="B751" s="40"/>
      <c r="C751" s="40"/>
      <c r="D751" s="40"/>
      <c r="E751" s="40"/>
      <c r="F751" s="40"/>
      <c r="G751" s="40"/>
    </row>
    <row r="752" spans="1:7">
      <c r="A752" s="39"/>
      <c r="B752" s="39"/>
      <c r="C752" s="39"/>
      <c r="D752" s="39"/>
      <c r="E752" s="39"/>
      <c r="F752" s="39"/>
      <c r="G752" s="39"/>
    </row>
    <row r="753" spans="1:7">
      <c r="A753" s="40"/>
      <c r="B753" s="40"/>
      <c r="C753" s="40"/>
      <c r="D753" s="40"/>
      <c r="E753" s="40"/>
      <c r="F753" s="40"/>
      <c r="G753" s="40"/>
    </row>
    <row r="754" spans="1:7">
      <c r="A754" s="39"/>
      <c r="B754" s="39"/>
      <c r="C754" s="39"/>
      <c r="D754" s="39"/>
      <c r="E754" s="39"/>
      <c r="F754" s="39"/>
      <c r="G754" s="39"/>
    </row>
    <row r="755" spans="1:7">
      <c r="A755" s="40"/>
      <c r="B755" s="40"/>
      <c r="C755" s="40"/>
      <c r="D755" s="40"/>
      <c r="E755" s="40"/>
      <c r="F755" s="40"/>
      <c r="G755" s="40"/>
    </row>
    <row r="756" spans="1:7">
      <c r="A756" s="39"/>
      <c r="B756" s="39"/>
      <c r="C756" s="39"/>
      <c r="D756" s="39"/>
      <c r="E756" s="39"/>
      <c r="F756" s="39"/>
      <c r="G756" s="39"/>
    </row>
    <row r="757" spans="1:7">
      <c r="A757" s="40"/>
      <c r="B757" s="40"/>
      <c r="C757" s="40"/>
      <c r="D757" s="40"/>
      <c r="E757" s="40"/>
      <c r="F757" s="40"/>
      <c r="G757" s="40"/>
    </row>
    <row r="758" spans="1:7">
      <c r="A758" s="39"/>
      <c r="B758" s="39"/>
      <c r="C758" s="39"/>
      <c r="D758" s="39"/>
      <c r="E758" s="39"/>
      <c r="F758" s="39"/>
      <c r="G758" s="39"/>
    </row>
    <row r="759" spans="1:7">
      <c r="A759" s="40"/>
      <c r="B759" s="40"/>
      <c r="C759" s="40"/>
      <c r="D759" s="40"/>
      <c r="E759" s="40"/>
      <c r="F759" s="40"/>
      <c r="G759" s="40"/>
    </row>
    <row r="760" spans="1:7">
      <c r="A760" s="39"/>
      <c r="B760" s="39"/>
      <c r="C760" s="39"/>
      <c r="D760" s="39"/>
      <c r="E760" s="39"/>
      <c r="F760" s="39"/>
      <c r="G760" s="39"/>
    </row>
    <row r="761" spans="1:7">
      <c r="A761" s="40"/>
      <c r="B761" s="40"/>
      <c r="C761" s="40"/>
      <c r="D761" s="40"/>
      <c r="E761" s="40"/>
      <c r="F761" s="40"/>
      <c r="G761" s="40"/>
    </row>
    <row r="762" spans="1:7">
      <c r="A762" s="39"/>
      <c r="B762" s="39"/>
      <c r="C762" s="39"/>
      <c r="D762" s="39"/>
      <c r="E762" s="39"/>
      <c r="F762" s="39"/>
      <c r="G762" s="39"/>
    </row>
    <row r="763" spans="1:7">
      <c r="A763" s="40"/>
      <c r="B763" s="40"/>
      <c r="C763" s="40"/>
      <c r="D763" s="40"/>
      <c r="E763" s="40"/>
      <c r="F763" s="40"/>
      <c r="G763" s="40"/>
    </row>
    <row r="764" spans="1:7">
      <c r="A764" s="39"/>
      <c r="B764" s="39"/>
      <c r="C764" s="39"/>
      <c r="D764" s="39"/>
      <c r="E764" s="39"/>
      <c r="F764" s="39"/>
      <c r="G764" s="39"/>
    </row>
    <row r="765" spans="1:7">
      <c r="A765" s="40"/>
      <c r="B765" s="40"/>
      <c r="C765" s="40"/>
      <c r="D765" s="40"/>
      <c r="E765" s="40"/>
      <c r="F765" s="40"/>
      <c r="G765" s="40"/>
    </row>
    <row r="766" spans="1:7">
      <c r="A766" s="39"/>
      <c r="B766" s="39"/>
      <c r="C766" s="39"/>
      <c r="D766" s="39"/>
      <c r="E766" s="39"/>
      <c r="F766" s="39"/>
      <c r="G766" s="39"/>
    </row>
    <row r="767" spans="1:7">
      <c r="A767" s="40"/>
      <c r="B767" s="40"/>
      <c r="C767" s="40"/>
      <c r="D767" s="40"/>
      <c r="E767" s="40"/>
      <c r="F767" s="40"/>
      <c r="G767" s="40"/>
    </row>
    <row r="768" spans="1:7">
      <c r="A768" s="39"/>
      <c r="B768" s="39"/>
      <c r="C768" s="39"/>
      <c r="D768" s="39"/>
      <c r="E768" s="39"/>
      <c r="F768" s="39"/>
      <c r="G768" s="39"/>
    </row>
    <row r="769" spans="1:7">
      <c r="A769" s="40"/>
      <c r="B769" s="40"/>
      <c r="C769" s="40"/>
      <c r="D769" s="40"/>
      <c r="E769" s="40"/>
      <c r="F769" s="40"/>
      <c r="G769" s="40"/>
    </row>
    <row r="770" spans="1:7">
      <c r="A770" s="39"/>
      <c r="B770" s="39"/>
      <c r="C770" s="39"/>
      <c r="D770" s="39"/>
      <c r="E770" s="39"/>
      <c r="F770" s="39"/>
      <c r="G770" s="39"/>
    </row>
    <row r="771" spans="1:7">
      <c r="A771" s="40"/>
      <c r="B771" s="40"/>
      <c r="C771" s="40"/>
      <c r="D771" s="40"/>
      <c r="E771" s="40"/>
      <c r="F771" s="40"/>
      <c r="G771" s="40"/>
    </row>
    <row r="772" spans="1:7">
      <c r="A772" s="39"/>
      <c r="B772" s="39"/>
      <c r="C772" s="39"/>
      <c r="D772" s="39"/>
      <c r="E772" s="39"/>
      <c r="F772" s="39"/>
      <c r="G772" s="39"/>
    </row>
    <row r="773" spans="1:7">
      <c r="A773" s="40"/>
      <c r="B773" s="40"/>
      <c r="C773" s="40"/>
      <c r="D773" s="40"/>
      <c r="E773" s="40"/>
      <c r="F773" s="40"/>
      <c r="G773" s="40"/>
    </row>
    <row r="774" spans="1:7">
      <c r="A774" s="39"/>
      <c r="B774" s="39"/>
      <c r="C774" s="39"/>
      <c r="D774" s="39"/>
      <c r="E774" s="39"/>
      <c r="F774" s="39"/>
      <c r="G774" s="39"/>
    </row>
    <row r="775" spans="1:7">
      <c r="A775" s="40"/>
      <c r="B775" s="40"/>
      <c r="C775" s="40"/>
      <c r="D775" s="40"/>
      <c r="E775" s="40"/>
      <c r="F775" s="40"/>
      <c r="G775" s="40"/>
    </row>
    <row r="776" spans="1:7">
      <c r="A776" s="39"/>
      <c r="B776" s="39"/>
      <c r="C776" s="39"/>
      <c r="D776" s="39"/>
      <c r="E776" s="39"/>
      <c r="F776" s="39"/>
      <c r="G776" s="39"/>
    </row>
    <row r="777" spans="1:7">
      <c r="A777" s="40"/>
      <c r="B777" s="40"/>
      <c r="C777" s="40"/>
      <c r="D777" s="40"/>
      <c r="E777" s="40"/>
      <c r="F777" s="40"/>
      <c r="G777" s="40"/>
    </row>
    <row r="778" spans="1:7">
      <c r="A778" s="39"/>
      <c r="B778" s="39"/>
      <c r="C778" s="39"/>
      <c r="D778" s="39"/>
      <c r="E778" s="39"/>
      <c r="F778" s="39"/>
      <c r="G778" s="39"/>
    </row>
    <row r="779" spans="1:7">
      <c r="A779" s="40"/>
      <c r="B779" s="40"/>
      <c r="C779" s="40"/>
      <c r="D779" s="40"/>
      <c r="E779" s="40"/>
      <c r="F779" s="40"/>
      <c r="G779" s="40"/>
    </row>
    <row r="780" spans="1:7">
      <c r="A780" s="39"/>
      <c r="B780" s="39"/>
      <c r="C780" s="39"/>
      <c r="D780" s="39"/>
      <c r="E780" s="39"/>
      <c r="F780" s="39"/>
      <c r="G780" s="39"/>
    </row>
    <row r="781" spans="1:7">
      <c r="A781" s="40"/>
      <c r="B781" s="40"/>
      <c r="C781" s="40"/>
      <c r="D781" s="40"/>
      <c r="E781" s="40"/>
      <c r="F781" s="40"/>
      <c r="G781" s="40"/>
    </row>
    <row r="782" spans="1:7">
      <c r="A782" s="39"/>
      <c r="B782" s="39"/>
      <c r="C782" s="39"/>
      <c r="D782" s="39"/>
      <c r="E782" s="39"/>
      <c r="F782" s="39"/>
      <c r="G782" s="39"/>
    </row>
    <row r="783" spans="1:7">
      <c r="A783" s="40"/>
      <c r="B783" s="40"/>
      <c r="C783" s="40"/>
      <c r="D783" s="40"/>
      <c r="E783" s="40"/>
      <c r="F783" s="40"/>
      <c r="G783" s="40"/>
    </row>
    <row r="784" spans="1:7">
      <c r="A784" s="39"/>
      <c r="B784" s="39"/>
      <c r="C784" s="39"/>
      <c r="D784" s="39"/>
      <c r="E784" s="39"/>
      <c r="F784" s="39"/>
      <c r="G784" s="39"/>
    </row>
    <row r="785" spans="1:7">
      <c r="A785" s="40"/>
      <c r="B785" s="40"/>
      <c r="C785" s="40"/>
      <c r="D785" s="40"/>
      <c r="E785" s="40"/>
      <c r="F785" s="40"/>
      <c r="G785" s="40"/>
    </row>
    <row r="786" spans="1:7">
      <c r="A786" s="39"/>
      <c r="B786" s="39"/>
      <c r="C786" s="39"/>
      <c r="D786" s="39"/>
      <c r="E786" s="39"/>
      <c r="F786" s="39"/>
      <c r="G786" s="39"/>
    </row>
    <row r="787" spans="1:7">
      <c r="A787" s="40"/>
      <c r="B787" s="40"/>
      <c r="C787" s="40"/>
      <c r="D787" s="40"/>
      <c r="E787" s="40"/>
      <c r="F787" s="40"/>
      <c r="G787" s="40"/>
    </row>
    <row r="788" spans="1:7">
      <c r="A788" s="39"/>
      <c r="B788" s="39"/>
      <c r="C788" s="39"/>
      <c r="D788" s="39"/>
      <c r="E788" s="39"/>
      <c r="F788" s="39"/>
      <c r="G788" s="39"/>
    </row>
    <row r="789" spans="1:7">
      <c r="A789" s="40"/>
      <c r="B789" s="40"/>
      <c r="C789" s="40"/>
      <c r="D789" s="40"/>
      <c r="E789" s="40"/>
      <c r="F789" s="40"/>
      <c r="G789" s="40"/>
    </row>
    <row r="790" spans="1:7">
      <c r="A790" s="39"/>
      <c r="B790" s="39"/>
      <c r="C790" s="39"/>
      <c r="D790" s="39"/>
      <c r="E790" s="39"/>
      <c r="F790" s="39"/>
      <c r="G790" s="39"/>
    </row>
    <row r="791" spans="1:7">
      <c r="A791" s="40"/>
      <c r="B791" s="40"/>
      <c r="C791" s="40"/>
      <c r="D791" s="40"/>
      <c r="E791" s="40"/>
      <c r="F791" s="40"/>
      <c r="G791" s="40"/>
    </row>
    <row r="792" spans="1:7">
      <c r="A792" s="39"/>
      <c r="B792" s="39"/>
      <c r="C792" s="39"/>
      <c r="D792" s="39"/>
      <c r="E792" s="39"/>
      <c r="F792" s="39"/>
      <c r="G792" s="39"/>
    </row>
    <row r="793" spans="1:7">
      <c r="A793" s="40"/>
      <c r="B793" s="40"/>
      <c r="C793" s="40"/>
      <c r="D793" s="40"/>
      <c r="E793" s="40"/>
      <c r="F793" s="40"/>
      <c r="G793" s="40"/>
    </row>
    <row r="794" spans="1:7">
      <c r="A794" s="39"/>
      <c r="B794" s="39"/>
      <c r="C794" s="39"/>
      <c r="D794" s="39"/>
      <c r="E794" s="39"/>
      <c r="F794" s="39"/>
      <c r="G794" s="39"/>
    </row>
    <row r="795" spans="1:7">
      <c r="A795" s="40"/>
      <c r="B795" s="40"/>
      <c r="C795" s="40"/>
      <c r="D795" s="40"/>
      <c r="E795" s="40"/>
      <c r="F795" s="40"/>
      <c r="G795" s="40"/>
    </row>
    <row r="796" spans="1:7">
      <c r="A796" s="39"/>
      <c r="B796" s="39"/>
      <c r="C796" s="39"/>
      <c r="D796" s="39"/>
      <c r="E796" s="39"/>
      <c r="F796" s="39"/>
      <c r="G796" s="39"/>
    </row>
    <row r="797" spans="1:7">
      <c r="A797" s="40"/>
      <c r="B797" s="40"/>
      <c r="C797" s="40"/>
      <c r="D797" s="40"/>
      <c r="E797" s="40"/>
      <c r="F797" s="40"/>
      <c r="G797" s="40"/>
    </row>
    <row r="798" spans="1:7">
      <c r="A798" s="39"/>
      <c r="B798" s="39"/>
      <c r="C798" s="39"/>
      <c r="D798" s="39"/>
      <c r="E798" s="39"/>
      <c r="F798" s="39"/>
      <c r="G798" s="39"/>
    </row>
    <row r="799" spans="1:7">
      <c r="A799" s="40"/>
      <c r="B799" s="40"/>
      <c r="C799" s="40"/>
      <c r="D799" s="40"/>
      <c r="E799" s="40"/>
      <c r="F799" s="40"/>
      <c r="G799" s="40"/>
    </row>
    <row r="800" spans="1:7">
      <c r="A800" s="39"/>
      <c r="B800" s="39"/>
      <c r="C800" s="39"/>
      <c r="D800" s="39"/>
      <c r="E800" s="39"/>
      <c r="F800" s="39"/>
      <c r="G800" s="39"/>
    </row>
    <row r="801" spans="1:7">
      <c r="A801" s="40"/>
      <c r="B801" s="40"/>
      <c r="C801" s="40"/>
      <c r="D801" s="40"/>
      <c r="E801" s="40"/>
      <c r="F801" s="40"/>
      <c r="G801" s="40"/>
    </row>
    <row r="802" spans="1:7">
      <c r="A802" s="39"/>
      <c r="B802" s="39"/>
      <c r="C802" s="39"/>
      <c r="D802" s="39"/>
      <c r="E802" s="39"/>
      <c r="F802" s="39"/>
      <c r="G802" s="39"/>
    </row>
    <row r="803" spans="1:7">
      <c r="A803" s="40"/>
      <c r="B803" s="40"/>
      <c r="C803" s="40"/>
      <c r="D803" s="40"/>
      <c r="E803" s="40"/>
      <c r="F803" s="40"/>
      <c r="G803" s="40"/>
    </row>
    <row r="804" spans="1:7">
      <c r="A804" s="39"/>
      <c r="B804" s="39"/>
      <c r="C804" s="39"/>
      <c r="D804" s="39"/>
      <c r="E804" s="39"/>
      <c r="F804" s="39"/>
      <c r="G804" s="39"/>
    </row>
    <row r="805" spans="1:7">
      <c r="A805" s="40"/>
      <c r="B805" s="40"/>
      <c r="C805" s="40"/>
      <c r="D805" s="40"/>
      <c r="E805" s="40"/>
      <c r="F805" s="40"/>
      <c r="G805" s="40"/>
    </row>
    <row r="806" spans="1:7">
      <c r="A806" s="39"/>
      <c r="B806" s="39"/>
      <c r="C806" s="39"/>
      <c r="D806" s="39"/>
      <c r="E806" s="39"/>
      <c r="F806" s="39"/>
      <c r="G806" s="39"/>
    </row>
    <row r="807" spans="1:7">
      <c r="A807" s="40"/>
      <c r="B807" s="40"/>
      <c r="C807" s="40"/>
      <c r="D807" s="40"/>
      <c r="E807" s="40"/>
      <c r="F807" s="40"/>
      <c r="G807" s="40"/>
    </row>
    <row r="808" spans="1:7">
      <c r="A808" s="39"/>
      <c r="B808" s="39"/>
      <c r="C808" s="39"/>
      <c r="D808" s="39"/>
      <c r="E808" s="39"/>
      <c r="F808" s="39"/>
      <c r="G808" s="39"/>
    </row>
    <row r="809" spans="1:7">
      <c r="A809" s="40"/>
      <c r="B809" s="40"/>
      <c r="C809" s="40"/>
      <c r="D809" s="40"/>
      <c r="E809" s="40"/>
      <c r="F809" s="40"/>
      <c r="G809" s="40"/>
    </row>
    <row r="810" spans="1:7">
      <c r="A810" s="39"/>
      <c r="B810" s="39"/>
      <c r="C810" s="39"/>
      <c r="D810" s="39"/>
      <c r="E810" s="39"/>
      <c r="F810" s="39"/>
      <c r="G810" s="39"/>
    </row>
    <row r="811" spans="1:7">
      <c r="A811" s="40"/>
      <c r="B811" s="40"/>
      <c r="C811" s="40"/>
      <c r="D811" s="40"/>
      <c r="E811" s="40"/>
      <c r="F811" s="40"/>
      <c r="G811" s="40"/>
    </row>
    <row r="812" spans="1:7">
      <c r="A812" s="39"/>
      <c r="B812" s="39"/>
      <c r="C812" s="39"/>
      <c r="D812" s="39"/>
      <c r="E812" s="39"/>
      <c r="F812" s="39"/>
      <c r="G812" s="39"/>
    </row>
    <row r="813" spans="1:7">
      <c r="A813" s="40"/>
      <c r="B813" s="40"/>
      <c r="C813" s="40"/>
      <c r="D813" s="40"/>
      <c r="E813" s="40"/>
      <c r="F813" s="40"/>
      <c r="G813" s="40"/>
    </row>
    <row r="814" spans="1:7">
      <c r="A814" s="39"/>
      <c r="B814" s="39"/>
      <c r="C814" s="39"/>
      <c r="D814" s="39"/>
      <c r="E814" s="39"/>
      <c r="F814" s="39"/>
      <c r="G814" s="39"/>
    </row>
    <row r="815" spans="1:7">
      <c r="A815" s="40"/>
      <c r="B815" s="40"/>
      <c r="C815" s="40"/>
      <c r="D815" s="40"/>
      <c r="E815" s="40"/>
      <c r="F815" s="40"/>
      <c r="G815" s="40"/>
    </row>
    <row r="816" spans="1:7">
      <c r="A816" s="39"/>
      <c r="B816" s="39"/>
      <c r="C816" s="39"/>
      <c r="D816" s="39"/>
      <c r="E816" s="39"/>
      <c r="F816" s="39"/>
      <c r="G816" s="39"/>
    </row>
    <row r="817" spans="1:7">
      <c r="A817" s="40"/>
      <c r="B817" s="40"/>
      <c r="C817" s="40"/>
      <c r="D817" s="40"/>
      <c r="E817" s="40"/>
      <c r="F817" s="40"/>
      <c r="G817" s="40"/>
    </row>
    <row r="818" spans="1:7">
      <c r="A818" s="39"/>
      <c r="B818" s="39"/>
      <c r="C818" s="39"/>
      <c r="D818" s="39"/>
      <c r="E818" s="39"/>
      <c r="F818" s="39"/>
      <c r="G818" s="39"/>
    </row>
    <row r="819" spans="1:7">
      <c r="A819" s="40"/>
      <c r="B819" s="40"/>
      <c r="C819" s="40"/>
      <c r="D819" s="40"/>
      <c r="E819" s="40"/>
      <c r="F819" s="40"/>
      <c r="G819" s="40"/>
    </row>
    <row r="820" spans="1:7">
      <c r="A820" s="39"/>
      <c r="B820" s="39"/>
      <c r="C820" s="39"/>
      <c r="D820" s="39"/>
      <c r="E820" s="39"/>
      <c r="F820" s="39"/>
      <c r="G820" s="39"/>
    </row>
    <row r="821" spans="1:7">
      <c r="A821" s="40"/>
      <c r="B821" s="40"/>
      <c r="C821" s="40"/>
      <c r="D821" s="40"/>
      <c r="E821" s="40"/>
      <c r="F821" s="40"/>
      <c r="G821" s="40"/>
    </row>
    <row r="822" spans="1:7">
      <c r="A822" s="39"/>
      <c r="B822" s="39"/>
      <c r="C822" s="39"/>
      <c r="D822" s="39"/>
      <c r="E822" s="39"/>
      <c r="F822" s="39"/>
      <c r="G822" s="39"/>
    </row>
    <row r="823" spans="1:7">
      <c r="A823" s="40"/>
      <c r="B823" s="40"/>
      <c r="C823" s="40"/>
      <c r="D823" s="40"/>
      <c r="E823" s="40"/>
      <c r="F823" s="40"/>
      <c r="G823" s="40"/>
    </row>
    <row r="824" spans="1:7">
      <c r="A824" s="39"/>
      <c r="B824" s="39"/>
      <c r="C824" s="39"/>
      <c r="D824" s="39"/>
      <c r="E824" s="39"/>
      <c r="F824" s="39"/>
      <c r="G824" s="39"/>
    </row>
    <row r="825" spans="1:7">
      <c r="A825" s="40"/>
      <c r="B825" s="40"/>
      <c r="C825" s="40"/>
      <c r="D825" s="40"/>
      <c r="E825" s="40"/>
      <c r="F825" s="40"/>
      <c r="G825" s="40"/>
    </row>
    <row r="826" spans="1:7">
      <c r="A826" s="39"/>
      <c r="B826" s="39"/>
      <c r="C826" s="39"/>
      <c r="D826" s="39"/>
      <c r="E826" s="39"/>
      <c r="F826" s="39"/>
      <c r="G826" s="39"/>
    </row>
    <row r="827" spans="1:7">
      <c r="A827" s="40"/>
      <c r="B827" s="40"/>
      <c r="C827" s="40"/>
      <c r="D827" s="40"/>
      <c r="E827" s="40"/>
      <c r="F827" s="40"/>
      <c r="G827" s="40"/>
    </row>
    <row r="828" spans="1:7">
      <c r="A828" s="39"/>
      <c r="B828" s="39"/>
      <c r="C828" s="39"/>
      <c r="D828" s="39"/>
      <c r="E828" s="39"/>
      <c r="F828" s="39"/>
      <c r="G828" s="39"/>
    </row>
    <row r="829" spans="1:7">
      <c r="A829" s="40"/>
      <c r="B829" s="40"/>
      <c r="C829" s="40"/>
      <c r="D829" s="40"/>
      <c r="E829" s="40"/>
      <c r="F829" s="40"/>
      <c r="G829" s="40"/>
    </row>
    <row r="830" spans="1:7">
      <c r="A830" s="39"/>
      <c r="B830" s="39"/>
      <c r="C830" s="39"/>
      <c r="D830" s="39"/>
      <c r="E830" s="39"/>
      <c r="F830" s="39"/>
      <c r="G830" s="39"/>
    </row>
    <row r="831" spans="1:7">
      <c r="A831" s="40"/>
      <c r="B831" s="40"/>
      <c r="C831" s="40"/>
      <c r="D831" s="40"/>
      <c r="E831" s="40"/>
      <c r="F831" s="40"/>
      <c r="G831" s="40"/>
    </row>
    <row r="832" spans="1:7">
      <c r="A832" s="39"/>
      <c r="B832" s="39"/>
      <c r="C832" s="39"/>
      <c r="D832" s="39"/>
      <c r="E832" s="39"/>
      <c r="F832" s="39"/>
      <c r="G832" s="39"/>
    </row>
    <row r="833" spans="1:7">
      <c r="A833" s="40"/>
      <c r="B833" s="40"/>
      <c r="C833" s="40"/>
      <c r="D833" s="40"/>
      <c r="E833" s="40"/>
      <c r="F833" s="40"/>
      <c r="G833" s="40"/>
    </row>
    <row r="834" spans="1:7">
      <c r="A834" s="39"/>
      <c r="B834" s="39"/>
      <c r="C834" s="39"/>
      <c r="D834" s="39"/>
      <c r="E834" s="39"/>
      <c r="F834" s="39"/>
      <c r="G834" s="39"/>
    </row>
    <row r="835" spans="1:7">
      <c r="A835" s="40"/>
      <c r="B835" s="40"/>
      <c r="C835" s="40"/>
      <c r="D835" s="40"/>
      <c r="E835" s="40"/>
      <c r="F835" s="40"/>
      <c r="G835" s="40"/>
    </row>
    <row r="836" spans="1:7">
      <c r="A836" s="39"/>
      <c r="B836" s="39"/>
      <c r="C836" s="39"/>
      <c r="D836" s="39"/>
      <c r="E836" s="39"/>
      <c r="F836" s="39"/>
      <c r="G836" s="39"/>
    </row>
    <row r="837" spans="1:7">
      <c r="A837" s="40"/>
      <c r="B837" s="40"/>
      <c r="C837" s="40"/>
      <c r="D837" s="40"/>
      <c r="E837" s="40"/>
      <c r="F837" s="40"/>
      <c r="G837" s="40"/>
    </row>
    <row r="838" spans="1:7">
      <c r="A838" s="39"/>
      <c r="B838" s="39"/>
      <c r="C838" s="39"/>
      <c r="D838" s="39"/>
      <c r="E838" s="39"/>
      <c r="F838" s="39"/>
      <c r="G838" s="39"/>
    </row>
    <row r="839" spans="1:7">
      <c r="A839" s="40"/>
      <c r="B839" s="40"/>
      <c r="C839" s="40"/>
      <c r="D839" s="40"/>
      <c r="E839" s="40"/>
      <c r="F839" s="40"/>
      <c r="G839" s="40"/>
    </row>
    <row r="840" spans="1:7">
      <c r="A840" s="39"/>
      <c r="B840" s="39"/>
      <c r="C840" s="39"/>
      <c r="D840" s="39"/>
      <c r="E840" s="39"/>
      <c r="F840" s="39"/>
      <c r="G840" s="39"/>
    </row>
    <row r="841" spans="1:7">
      <c r="A841" s="40"/>
      <c r="B841" s="40"/>
      <c r="C841" s="40"/>
      <c r="D841" s="40"/>
      <c r="E841" s="40"/>
      <c r="F841" s="40"/>
      <c r="G841" s="40"/>
    </row>
    <row r="842" spans="1:7">
      <c r="A842" s="39"/>
      <c r="B842" s="39"/>
      <c r="C842" s="39"/>
      <c r="D842" s="39"/>
      <c r="E842" s="39"/>
      <c r="F842" s="39"/>
      <c r="G842" s="39"/>
    </row>
    <row r="843" spans="1:7">
      <c r="A843" s="40"/>
      <c r="B843" s="40"/>
      <c r="C843" s="40"/>
      <c r="D843" s="40"/>
      <c r="E843" s="40"/>
      <c r="F843" s="40"/>
      <c r="G843" s="40"/>
    </row>
    <row r="844" spans="1:7">
      <c r="A844" s="39"/>
      <c r="B844" s="39"/>
      <c r="C844" s="39"/>
      <c r="D844" s="39"/>
      <c r="E844" s="39"/>
      <c r="F844" s="39"/>
      <c r="G844" s="39"/>
    </row>
    <row r="845" spans="1:7">
      <c r="A845" s="40"/>
      <c r="B845" s="40"/>
      <c r="C845" s="40"/>
      <c r="D845" s="40"/>
      <c r="E845" s="40"/>
      <c r="F845" s="40"/>
      <c r="G845" s="40"/>
    </row>
    <row r="846" spans="1:7">
      <c r="A846" s="39"/>
      <c r="B846" s="39"/>
      <c r="C846" s="39"/>
      <c r="D846" s="39"/>
      <c r="E846" s="39"/>
      <c r="F846" s="39"/>
      <c r="G846" s="39"/>
    </row>
    <row r="847" spans="1:7">
      <c r="A847" s="40"/>
      <c r="B847" s="40"/>
      <c r="C847" s="40"/>
      <c r="D847" s="40"/>
      <c r="E847" s="40"/>
      <c r="F847" s="40"/>
      <c r="G847" s="40"/>
    </row>
    <row r="848" spans="1:7">
      <c r="A848" s="39"/>
      <c r="B848" s="39"/>
      <c r="C848" s="39"/>
      <c r="D848" s="39"/>
      <c r="E848" s="39"/>
      <c r="F848" s="39"/>
      <c r="G848" s="39"/>
    </row>
    <row r="849" spans="1:7">
      <c r="A849" s="40"/>
      <c r="B849" s="40"/>
      <c r="C849" s="40"/>
      <c r="D849" s="40"/>
      <c r="E849" s="40"/>
      <c r="F849" s="40"/>
      <c r="G849" s="40"/>
    </row>
    <row r="850" spans="1:7">
      <c r="A850" s="39"/>
      <c r="B850" s="39"/>
      <c r="C850" s="39"/>
      <c r="D850" s="39"/>
      <c r="E850" s="39"/>
      <c r="F850" s="39"/>
      <c r="G850" s="39"/>
    </row>
    <row r="851" spans="1:7">
      <c r="A851" s="40"/>
      <c r="B851" s="40"/>
      <c r="C851" s="40"/>
      <c r="D851" s="40"/>
      <c r="E851" s="40"/>
      <c r="F851" s="40"/>
      <c r="G851" s="40"/>
    </row>
    <row r="852" spans="1:7">
      <c r="A852" s="39"/>
      <c r="B852" s="39"/>
      <c r="C852" s="39"/>
      <c r="D852" s="39"/>
      <c r="E852" s="39"/>
      <c r="F852" s="39"/>
      <c r="G852" s="39"/>
    </row>
    <row r="853" spans="1:7">
      <c r="A853" s="40"/>
      <c r="B853" s="40"/>
      <c r="C853" s="40"/>
      <c r="D853" s="40"/>
      <c r="E853" s="40"/>
      <c r="F853" s="40"/>
      <c r="G853" s="40"/>
    </row>
    <row r="854" spans="1:7">
      <c r="A854" s="39"/>
      <c r="B854" s="39"/>
      <c r="C854" s="39"/>
      <c r="D854" s="39"/>
      <c r="E854" s="39"/>
      <c r="F854" s="39"/>
      <c r="G854" s="39"/>
    </row>
    <row r="855" spans="1:7">
      <c r="A855" s="40"/>
      <c r="B855" s="40"/>
      <c r="C855" s="40"/>
      <c r="D855" s="40"/>
      <c r="E855" s="40"/>
      <c r="F855" s="40"/>
      <c r="G855" s="40"/>
    </row>
    <row r="856" spans="1:7">
      <c r="A856" s="39"/>
      <c r="B856" s="39"/>
      <c r="C856" s="39"/>
      <c r="D856" s="39"/>
      <c r="E856" s="39"/>
      <c r="F856" s="39"/>
      <c r="G856" s="39"/>
    </row>
    <row r="857" spans="1:7">
      <c r="A857" s="40"/>
      <c r="B857" s="40"/>
      <c r="C857" s="40"/>
      <c r="D857" s="40"/>
      <c r="E857" s="40"/>
      <c r="F857" s="40"/>
      <c r="G857" s="40"/>
    </row>
    <row r="858" spans="1:7">
      <c r="A858" s="39"/>
      <c r="B858" s="39"/>
      <c r="C858" s="39"/>
      <c r="D858" s="39"/>
      <c r="E858" s="39"/>
      <c r="F858" s="39"/>
      <c r="G858" s="39"/>
    </row>
    <row r="859" spans="1:7">
      <c r="A859" s="40"/>
      <c r="B859" s="40"/>
      <c r="C859" s="40"/>
      <c r="D859" s="40"/>
      <c r="E859" s="40"/>
      <c r="F859" s="40"/>
      <c r="G859" s="40"/>
    </row>
    <row r="860" spans="1:7">
      <c r="A860" s="39"/>
      <c r="B860" s="39"/>
      <c r="C860" s="39"/>
      <c r="D860" s="39"/>
      <c r="E860" s="39"/>
      <c r="F860" s="39"/>
      <c r="G860" s="39"/>
    </row>
    <row r="861" spans="1:7">
      <c r="A861" s="40"/>
      <c r="B861" s="40"/>
      <c r="C861" s="40"/>
      <c r="D861" s="40"/>
      <c r="E861" s="40"/>
      <c r="F861" s="40"/>
      <c r="G861" s="40"/>
    </row>
    <row r="862" spans="1:7">
      <c r="A862" s="39"/>
      <c r="B862" s="39"/>
      <c r="C862" s="39"/>
      <c r="D862" s="39"/>
      <c r="E862" s="39"/>
      <c r="F862" s="39"/>
      <c r="G862" s="39"/>
    </row>
    <row r="863" spans="1:7">
      <c r="A863" s="40"/>
      <c r="B863" s="40"/>
      <c r="C863" s="40"/>
      <c r="D863" s="40"/>
      <c r="E863" s="40"/>
      <c r="F863" s="40"/>
      <c r="G863" s="40"/>
    </row>
    <row r="864" spans="1:7">
      <c r="A864" s="39"/>
      <c r="B864" s="39"/>
      <c r="C864" s="39"/>
      <c r="D864" s="39"/>
      <c r="E864" s="39"/>
      <c r="F864" s="39"/>
      <c r="G864" s="39"/>
    </row>
    <row r="865" spans="1:7">
      <c r="A865" s="40"/>
      <c r="B865" s="40"/>
      <c r="C865" s="40"/>
      <c r="D865" s="40"/>
      <c r="E865" s="40"/>
      <c r="F865" s="40"/>
      <c r="G865" s="40"/>
    </row>
    <row r="866" spans="1:7">
      <c r="A866" s="39"/>
      <c r="B866" s="39"/>
      <c r="C866" s="39"/>
      <c r="D866" s="39"/>
      <c r="E866" s="39"/>
      <c r="F866" s="39"/>
      <c r="G866" s="39"/>
    </row>
    <row r="867" spans="1:7">
      <c r="A867" s="40"/>
      <c r="B867" s="40"/>
      <c r="C867" s="40"/>
      <c r="D867" s="40"/>
      <c r="E867" s="40"/>
      <c r="F867" s="40"/>
      <c r="G867" s="40"/>
    </row>
    <row r="868" spans="1:7">
      <c r="A868" s="39"/>
      <c r="B868" s="39"/>
      <c r="C868" s="39"/>
      <c r="D868" s="39"/>
      <c r="E868" s="39"/>
      <c r="F868" s="39"/>
      <c r="G868" s="39"/>
    </row>
    <row r="869" spans="1:7">
      <c r="A869" s="40"/>
      <c r="B869" s="40"/>
      <c r="C869" s="40"/>
      <c r="D869" s="40"/>
      <c r="E869" s="40"/>
      <c r="F869" s="40"/>
      <c r="G869" s="40"/>
    </row>
    <row r="870" spans="1:7">
      <c r="A870" s="39"/>
      <c r="B870" s="39"/>
      <c r="C870" s="39"/>
      <c r="D870" s="39"/>
      <c r="E870" s="39"/>
      <c r="F870" s="39"/>
      <c r="G870" s="39"/>
    </row>
    <row r="871" spans="1:7">
      <c r="A871" s="40"/>
      <c r="B871" s="40"/>
      <c r="C871" s="40"/>
      <c r="D871" s="40"/>
      <c r="E871" s="40"/>
      <c r="F871" s="40"/>
      <c r="G871" s="40"/>
    </row>
    <row r="872" spans="1:7">
      <c r="A872" s="39"/>
      <c r="B872" s="39"/>
      <c r="C872" s="39"/>
      <c r="D872" s="39"/>
      <c r="E872" s="39"/>
      <c r="F872" s="39"/>
      <c r="G872" s="39"/>
    </row>
    <row r="873" spans="1:7">
      <c r="A873" s="40"/>
      <c r="B873" s="40"/>
      <c r="C873" s="40"/>
      <c r="D873" s="40"/>
      <c r="E873" s="40"/>
      <c r="F873" s="40"/>
      <c r="G873" s="40"/>
    </row>
    <row r="874" spans="1:7">
      <c r="A874" s="39"/>
      <c r="B874" s="39"/>
      <c r="C874" s="39"/>
      <c r="D874" s="39"/>
      <c r="E874" s="39"/>
      <c r="F874" s="39"/>
      <c r="G874" s="39"/>
    </row>
    <row r="875" spans="1:7">
      <c r="A875" s="40"/>
      <c r="B875" s="40"/>
      <c r="C875" s="40"/>
      <c r="D875" s="40"/>
      <c r="E875" s="40"/>
      <c r="F875" s="40"/>
      <c r="G875" s="40"/>
    </row>
    <row r="876" spans="1:7">
      <c r="A876" s="39"/>
      <c r="B876" s="39"/>
      <c r="C876" s="39"/>
      <c r="D876" s="39"/>
      <c r="E876" s="39"/>
      <c r="F876" s="39"/>
      <c r="G876" s="39"/>
    </row>
    <row r="877" spans="1:7">
      <c r="A877" s="40"/>
      <c r="B877" s="40"/>
      <c r="C877" s="40"/>
      <c r="D877" s="40"/>
      <c r="E877" s="40"/>
      <c r="F877" s="40"/>
      <c r="G877" s="40"/>
    </row>
    <row r="878" spans="1:7">
      <c r="A878" s="39"/>
      <c r="B878" s="39"/>
      <c r="C878" s="39"/>
      <c r="D878" s="39"/>
      <c r="E878" s="39"/>
      <c r="F878" s="39"/>
      <c r="G878" s="39"/>
    </row>
    <row r="879" spans="1:7">
      <c r="A879" s="40"/>
      <c r="B879" s="40"/>
      <c r="C879" s="40"/>
      <c r="D879" s="40"/>
      <c r="E879" s="40"/>
      <c r="F879" s="40"/>
      <c r="G879" s="40"/>
    </row>
    <row r="880" spans="1:7">
      <c r="A880" s="39"/>
      <c r="B880" s="39"/>
      <c r="C880" s="39"/>
      <c r="D880" s="39"/>
      <c r="E880" s="39"/>
      <c r="F880" s="39"/>
      <c r="G880" s="39"/>
    </row>
    <row r="881" spans="1:7">
      <c r="A881" s="40"/>
      <c r="B881" s="40"/>
      <c r="C881" s="40"/>
      <c r="D881" s="40"/>
      <c r="E881" s="40"/>
      <c r="F881" s="40"/>
      <c r="G881" s="40"/>
    </row>
    <row r="882" spans="1:7">
      <c r="A882" s="39"/>
      <c r="B882" s="39"/>
      <c r="C882" s="39"/>
      <c r="D882" s="39"/>
      <c r="E882" s="39"/>
      <c r="F882" s="39"/>
      <c r="G882" s="39"/>
    </row>
    <row r="883" spans="1:7">
      <c r="A883" s="40"/>
      <c r="B883" s="40"/>
      <c r="C883" s="40"/>
      <c r="D883" s="40"/>
      <c r="E883" s="40"/>
      <c r="F883" s="40"/>
      <c r="G883" s="40"/>
    </row>
    <row r="884" spans="1:7">
      <c r="A884" s="39"/>
      <c r="B884" s="39"/>
      <c r="C884" s="39"/>
      <c r="D884" s="39"/>
      <c r="E884" s="39"/>
      <c r="F884" s="39"/>
      <c r="G884" s="39"/>
    </row>
    <row r="885" spans="1:7">
      <c r="A885" s="40"/>
      <c r="B885" s="40"/>
      <c r="C885" s="40"/>
      <c r="D885" s="40"/>
      <c r="E885" s="40"/>
      <c r="F885" s="40"/>
      <c r="G885" s="40"/>
    </row>
    <row r="886" spans="1:7">
      <c r="A886" s="39"/>
      <c r="B886" s="39"/>
      <c r="C886" s="39"/>
      <c r="D886" s="39"/>
      <c r="E886" s="39"/>
      <c r="F886" s="39"/>
      <c r="G886" s="39"/>
    </row>
    <row r="887" spans="1:7">
      <c r="A887" s="40"/>
      <c r="B887" s="40"/>
      <c r="C887" s="40"/>
      <c r="D887" s="40"/>
      <c r="E887" s="40"/>
      <c r="F887" s="40"/>
      <c r="G887" s="40"/>
    </row>
    <row r="888" spans="1:7">
      <c r="A888" s="39"/>
      <c r="B888" s="39"/>
      <c r="C888" s="39"/>
      <c r="D888" s="39"/>
      <c r="E888" s="39"/>
      <c r="F888" s="39"/>
      <c r="G888" s="39"/>
    </row>
    <row r="889" spans="1:7">
      <c r="A889" s="40"/>
      <c r="B889" s="40"/>
      <c r="C889" s="40"/>
      <c r="D889" s="40"/>
      <c r="E889" s="40"/>
      <c r="F889" s="40"/>
      <c r="G889" s="40"/>
    </row>
    <row r="890" spans="1:7">
      <c r="A890" s="39"/>
      <c r="B890" s="39"/>
      <c r="C890" s="39"/>
      <c r="D890" s="39"/>
      <c r="E890" s="39"/>
      <c r="F890" s="39"/>
      <c r="G890" s="39"/>
    </row>
    <row r="891" spans="1:7">
      <c r="A891" s="40"/>
      <c r="B891" s="40"/>
      <c r="C891" s="40"/>
      <c r="D891" s="40"/>
      <c r="E891" s="40"/>
      <c r="F891" s="40"/>
      <c r="G891" s="40"/>
    </row>
    <row r="892" spans="1:7">
      <c r="A892" s="39"/>
      <c r="B892" s="39"/>
      <c r="C892" s="39"/>
      <c r="D892" s="39"/>
      <c r="E892" s="39"/>
      <c r="F892" s="39"/>
      <c r="G892" s="39"/>
    </row>
    <row r="893" spans="1:7">
      <c r="A893" s="40"/>
      <c r="B893" s="40"/>
      <c r="C893" s="40"/>
      <c r="D893" s="40"/>
      <c r="E893" s="40"/>
      <c r="F893" s="40"/>
      <c r="G893" s="40"/>
    </row>
    <row r="894" spans="1:7">
      <c r="A894" s="39"/>
      <c r="B894" s="39"/>
      <c r="C894" s="39"/>
      <c r="D894" s="39"/>
      <c r="E894" s="39"/>
      <c r="F894" s="39"/>
      <c r="G894" s="39"/>
    </row>
    <row r="895" spans="1:7">
      <c r="A895" s="40"/>
      <c r="B895" s="40"/>
      <c r="C895" s="40"/>
      <c r="D895" s="40"/>
      <c r="E895" s="40"/>
      <c r="F895" s="40"/>
      <c r="G895" s="40"/>
    </row>
    <row r="896" spans="1:7">
      <c r="A896" s="39"/>
      <c r="B896" s="39"/>
      <c r="C896" s="39"/>
      <c r="D896" s="39"/>
      <c r="E896" s="39"/>
      <c r="F896" s="39"/>
      <c r="G896" s="39"/>
    </row>
    <row r="897" spans="1:7">
      <c r="A897" s="40"/>
      <c r="B897" s="40"/>
      <c r="C897" s="40"/>
      <c r="D897" s="40"/>
      <c r="E897" s="40"/>
      <c r="F897" s="40"/>
      <c r="G897" s="40"/>
    </row>
    <row r="898" spans="1:7">
      <c r="A898" s="39"/>
      <c r="B898" s="39"/>
      <c r="C898" s="39"/>
      <c r="D898" s="39"/>
      <c r="E898" s="39"/>
      <c r="F898" s="39"/>
      <c r="G898" s="39"/>
    </row>
    <row r="899" spans="1:7">
      <c r="A899" s="40"/>
      <c r="B899" s="40"/>
      <c r="C899" s="40"/>
      <c r="D899" s="40"/>
      <c r="E899" s="40"/>
      <c r="F899" s="40"/>
      <c r="G899" s="40"/>
    </row>
    <row r="900" spans="1:7">
      <c r="A900" s="39"/>
      <c r="B900" s="39"/>
      <c r="C900" s="39"/>
      <c r="D900" s="39"/>
      <c r="E900" s="39"/>
      <c r="F900" s="39"/>
      <c r="G900" s="39"/>
    </row>
    <row r="901" spans="1:7">
      <c r="A901" s="40"/>
      <c r="B901" s="40"/>
      <c r="C901" s="40"/>
      <c r="D901" s="40"/>
      <c r="E901" s="40"/>
      <c r="F901" s="40"/>
      <c r="G901" s="40"/>
    </row>
    <row r="902" spans="1:7">
      <c r="A902" s="39"/>
      <c r="B902" s="39"/>
      <c r="C902" s="39"/>
      <c r="D902" s="39"/>
      <c r="E902" s="39"/>
      <c r="F902" s="39"/>
      <c r="G902" s="39"/>
    </row>
    <row r="903" spans="1:7">
      <c r="A903" s="40"/>
      <c r="B903" s="40"/>
      <c r="C903" s="40"/>
      <c r="D903" s="40"/>
      <c r="E903" s="40"/>
      <c r="F903" s="40"/>
      <c r="G903" s="40"/>
    </row>
    <row r="904" spans="1:7">
      <c r="A904" s="39"/>
      <c r="B904" s="39"/>
      <c r="C904" s="39"/>
      <c r="D904" s="39"/>
      <c r="E904" s="39"/>
      <c r="F904" s="39"/>
      <c r="G904" s="39"/>
    </row>
    <row r="905" spans="1:7">
      <c r="A905" s="40"/>
      <c r="B905" s="40"/>
      <c r="C905" s="40"/>
      <c r="D905" s="40"/>
      <c r="E905" s="40"/>
      <c r="F905" s="40"/>
      <c r="G905" s="40"/>
    </row>
    <row r="906" spans="1:7">
      <c r="A906" s="39"/>
      <c r="B906" s="39"/>
      <c r="C906" s="39"/>
      <c r="D906" s="39"/>
      <c r="E906" s="39"/>
      <c r="F906" s="39"/>
      <c r="G906" s="39"/>
    </row>
    <row r="907" spans="1:7">
      <c r="A907" s="40"/>
      <c r="B907" s="40"/>
      <c r="C907" s="40"/>
      <c r="D907" s="40"/>
      <c r="E907" s="40"/>
      <c r="F907" s="40"/>
      <c r="G907" s="40"/>
    </row>
    <row r="908" spans="1:7">
      <c r="A908" s="39"/>
      <c r="B908" s="39"/>
      <c r="C908" s="39"/>
      <c r="D908" s="39"/>
      <c r="E908" s="39"/>
      <c r="F908" s="39"/>
      <c r="G908" s="39"/>
    </row>
    <row r="909" spans="1:7">
      <c r="A909" s="40"/>
      <c r="B909" s="40"/>
      <c r="C909" s="40"/>
      <c r="D909" s="40"/>
      <c r="E909" s="40"/>
      <c r="F909" s="40"/>
      <c r="G909" s="40"/>
    </row>
    <row r="910" spans="1:7">
      <c r="A910" s="39"/>
      <c r="B910" s="39"/>
      <c r="C910" s="39"/>
      <c r="D910" s="39"/>
      <c r="E910" s="39"/>
      <c r="F910" s="39"/>
      <c r="G910" s="39"/>
    </row>
    <row r="911" spans="1:7">
      <c r="A911" s="40"/>
      <c r="B911" s="40"/>
      <c r="C911" s="40"/>
      <c r="D911" s="40"/>
      <c r="E911" s="40"/>
      <c r="F911" s="40"/>
      <c r="G911" s="40"/>
    </row>
    <row r="912" spans="1:7">
      <c r="A912" s="39"/>
      <c r="B912" s="39"/>
      <c r="C912" s="39"/>
      <c r="D912" s="39"/>
      <c r="E912" s="39"/>
      <c r="F912" s="39"/>
      <c r="G912" s="39"/>
    </row>
    <row r="913" spans="1:7">
      <c r="A913" s="40"/>
      <c r="B913" s="40"/>
      <c r="C913" s="40"/>
      <c r="D913" s="40"/>
      <c r="E913" s="40"/>
      <c r="F913" s="40"/>
      <c r="G913" s="40"/>
    </row>
    <row r="914" spans="1:7">
      <c r="A914" s="39"/>
      <c r="B914" s="39"/>
      <c r="C914" s="39"/>
      <c r="D914" s="39"/>
      <c r="E914" s="39"/>
      <c r="F914" s="39"/>
      <c r="G914" s="39"/>
    </row>
    <row r="915" spans="1:7">
      <c r="A915" s="40"/>
      <c r="B915" s="40"/>
      <c r="C915" s="40"/>
      <c r="D915" s="40"/>
      <c r="E915" s="40"/>
      <c r="F915" s="40"/>
      <c r="G915" s="40"/>
    </row>
    <row r="916" spans="1:7">
      <c r="A916" s="39"/>
      <c r="B916" s="39"/>
      <c r="C916" s="39"/>
      <c r="D916" s="39"/>
      <c r="E916" s="39"/>
      <c r="F916" s="39"/>
      <c r="G916" s="39"/>
    </row>
    <row r="917" spans="1:7">
      <c r="A917" s="40"/>
      <c r="B917" s="40"/>
      <c r="C917" s="40"/>
      <c r="D917" s="40"/>
      <c r="E917" s="40"/>
      <c r="F917" s="40"/>
      <c r="G917" s="40"/>
    </row>
    <row r="918" spans="1:7">
      <c r="A918" s="39"/>
      <c r="B918" s="39"/>
      <c r="C918" s="39"/>
      <c r="D918" s="39"/>
      <c r="E918" s="39"/>
      <c r="F918" s="39"/>
      <c r="G918" s="39"/>
    </row>
    <row r="919" spans="1:7">
      <c r="A919" s="40"/>
      <c r="B919" s="40"/>
      <c r="C919" s="40"/>
      <c r="D919" s="40"/>
      <c r="E919" s="40"/>
      <c r="F919" s="40"/>
      <c r="G919" s="40"/>
    </row>
    <row r="920" spans="1:7">
      <c r="A920" s="39"/>
      <c r="B920" s="39"/>
      <c r="C920" s="39"/>
      <c r="D920" s="39"/>
      <c r="E920" s="39"/>
      <c r="F920" s="39"/>
      <c r="G920" s="39"/>
    </row>
    <row r="921" spans="1:7">
      <c r="A921" s="40"/>
      <c r="B921" s="40"/>
      <c r="C921" s="40"/>
      <c r="D921" s="40"/>
      <c r="E921" s="40"/>
      <c r="F921" s="40"/>
      <c r="G921" s="40"/>
    </row>
    <row r="922" spans="1:7">
      <c r="A922" s="39"/>
      <c r="B922" s="39"/>
      <c r="C922" s="39"/>
      <c r="D922" s="39"/>
      <c r="E922" s="39"/>
      <c r="F922" s="39"/>
      <c r="G922" s="39"/>
    </row>
    <row r="923" spans="1:7">
      <c r="A923" s="40"/>
      <c r="B923" s="40"/>
      <c r="C923" s="40"/>
      <c r="D923" s="40"/>
      <c r="E923" s="40"/>
      <c r="F923" s="40"/>
      <c r="G923" s="40"/>
    </row>
    <row r="924" spans="1:7">
      <c r="A924" s="39"/>
      <c r="B924" s="39"/>
      <c r="C924" s="39"/>
      <c r="D924" s="39"/>
      <c r="E924" s="39"/>
      <c r="F924" s="39"/>
      <c r="G924" s="39"/>
    </row>
    <row r="925" spans="1:7">
      <c r="A925" s="40"/>
      <c r="B925" s="40"/>
      <c r="C925" s="40"/>
      <c r="D925" s="40"/>
      <c r="E925" s="40"/>
      <c r="F925" s="40"/>
      <c r="G925" s="40"/>
    </row>
    <row r="926" spans="1:7">
      <c r="A926" s="39"/>
      <c r="B926" s="39"/>
      <c r="C926" s="39"/>
      <c r="D926" s="39"/>
      <c r="E926" s="39"/>
      <c r="F926" s="39"/>
      <c r="G926" s="39"/>
    </row>
    <row r="927" spans="1:7">
      <c r="A927" s="40"/>
      <c r="B927" s="40"/>
      <c r="C927" s="40"/>
      <c r="D927" s="40"/>
      <c r="E927" s="40"/>
      <c r="F927" s="40"/>
      <c r="G927" s="40"/>
    </row>
    <row r="928" spans="1:7">
      <c r="A928" s="39"/>
      <c r="B928" s="39"/>
      <c r="C928" s="39"/>
      <c r="D928" s="39"/>
      <c r="E928" s="39"/>
      <c r="F928" s="39"/>
      <c r="G928" s="39"/>
    </row>
    <row r="929" spans="1:7">
      <c r="A929" s="40"/>
      <c r="B929" s="40"/>
      <c r="C929" s="40"/>
      <c r="D929" s="40"/>
      <c r="E929" s="40"/>
      <c r="F929" s="40"/>
      <c r="G929" s="40"/>
    </row>
    <row r="930" spans="1:7">
      <c r="A930" s="39"/>
      <c r="B930" s="39"/>
      <c r="C930" s="39"/>
      <c r="D930" s="39"/>
      <c r="E930" s="39"/>
      <c r="F930" s="39"/>
      <c r="G930" s="39"/>
    </row>
    <row r="931" spans="1:7">
      <c r="A931" s="40"/>
      <c r="B931" s="40"/>
      <c r="C931" s="40"/>
      <c r="D931" s="40"/>
      <c r="E931" s="40"/>
      <c r="F931" s="40"/>
      <c r="G931" s="40"/>
    </row>
    <row r="932" spans="1:7">
      <c r="A932" s="39"/>
      <c r="B932" s="39"/>
      <c r="C932" s="39"/>
      <c r="D932" s="39"/>
      <c r="E932" s="39"/>
      <c r="F932" s="39"/>
      <c r="G932" s="39"/>
    </row>
    <row r="933" spans="1:7">
      <c r="A933" s="40"/>
      <c r="B933" s="40"/>
      <c r="C933" s="40"/>
      <c r="D933" s="40"/>
      <c r="E933" s="40"/>
      <c r="F933" s="40"/>
      <c r="G933" s="40"/>
    </row>
    <row r="934" spans="1:7">
      <c r="A934" s="39"/>
      <c r="B934" s="39"/>
      <c r="C934" s="39"/>
      <c r="D934" s="39"/>
      <c r="E934" s="39"/>
      <c r="F934" s="39"/>
      <c r="G934" s="39"/>
    </row>
    <row r="935" spans="1:7">
      <c r="A935" s="40"/>
      <c r="B935" s="40"/>
      <c r="C935" s="40"/>
      <c r="D935" s="40"/>
      <c r="E935" s="40"/>
      <c r="F935" s="40"/>
      <c r="G935" s="40"/>
    </row>
    <row r="936" spans="1:7">
      <c r="A936" s="39"/>
      <c r="B936" s="39"/>
      <c r="C936" s="39"/>
      <c r="D936" s="39"/>
      <c r="E936" s="39"/>
      <c r="F936" s="39"/>
      <c r="G936" s="39"/>
    </row>
    <row r="937" spans="1:7">
      <c r="A937" s="40"/>
      <c r="B937" s="40"/>
      <c r="C937" s="40"/>
      <c r="D937" s="40"/>
      <c r="E937" s="40"/>
      <c r="F937" s="40"/>
      <c r="G937" s="40"/>
    </row>
    <row r="938" spans="1:7">
      <c r="A938" s="39"/>
      <c r="B938" s="39"/>
      <c r="C938" s="39"/>
      <c r="D938" s="39"/>
      <c r="E938" s="39"/>
      <c r="F938" s="39"/>
      <c r="G938" s="39"/>
    </row>
    <row r="939" spans="1:7">
      <c r="A939" s="40"/>
      <c r="B939" s="40"/>
      <c r="C939" s="40"/>
      <c r="D939" s="40"/>
      <c r="E939" s="40"/>
      <c r="F939" s="40"/>
      <c r="G939" s="40"/>
    </row>
    <row r="940" spans="1:7">
      <c r="A940" s="39"/>
      <c r="B940" s="39"/>
      <c r="C940" s="39"/>
      <c r="D940" s="39"/>
      <c r="E940" s="39"/>
      <c r="F940" s="39"/>
      <c r="G940" s="39"/>
    </row>
    <row r="941" spans="1:7">
      <c r="A941" s="40"/>
      <c r="B941" s="40"/>
      <c r="C941" s="40"/>
      <c r="D941" s="40"/>
      <c r="E941" s="40"/>
      <c r="F941" s="40"/>
      <c r="G941" s="40"/>
    </row>
    <row r="942" spans="1:7">
      <c r="A942" s="39"/>
      <c r="B942" s="39"/>
      <c r="C942" s="39"/>
      <c r="D942" s="39"/>
      <c r="E942" s="39"/>
      <c r="F942" s="39"/>
      <c r="G942" s="39"/>
    </row>
    <row r="943" spans="1:7">
      <c r="A943" s="40"/>
      <c r="B943" s="40"/>
      <c r="C943" s="40"/>
      <c r="D943" s="40"/>
      <c r="E943" s="40"/>
      <c r="F943" s="40"/>
      <c r="G943" s="40"/>
    </row>
    <row r="944" spans="1:7">
      <c r="A944" s="39"/>
      <c r="B944" s="39"/>
      <c r="C944" s="39"/>
      <c r="D944" s="39"/>
      <c r="E944" s="39"/>
      <c r="F944" s="39"/>
      <c r="G944" s="39"/>
    </row>
    <row r="945" spans="1:7">
      <c r="A945" s="40"/>
      <c r="B945" s="40"/>
      <c r="C945" s="40"/>
      <c r="D945" s="40"/>
      <c r="E945" s="40"/>
      <c r="F945" s="40"/>
      <c r="G945" s="40"/>
    </row>
    <row r="946" spans="1:7">
      <c r="A946" s="39"/>
      <c r="B946" s="39"/>
      <c r="C946" s="39"/>
      <c r="D946" s="39"/>
      <c r="E946" s="39"/>
      <c r="F946" s="39"/>
      <c r="G946" s="39"/>
    </row>
    <row r="947" spans="1:7">
      <c r="A947" s="40"/>
      <c r="B947" s="40"/>
      <c r="C947" s="40"/>
      <c r="D947" s="40"/>
      <c r="E947" s="40"/>
      <c r="F947" s="40"/>
      <c r="G947" s="40"/>
    </row>
    <row r="948" spans="1:7">
      <c r="A948" s="39"/>
      <c r="B948" s="39"/>
      <c r="C948" s="39"/>
      <c r="D948" s="39"/>
      <c r="E948" s="39"/>
      <c r="F948" s="39"/>
      <c r="G948" s="39"/>
    </row>
    <row r="949" spans="1:7">
      <c r="A949" s="40"/>
      <c r="B949" s="40"/>
      <c r="C949" s="40"/>
      <c r="D949" s="40"/>
      <c r="E949" s="40"/>
      <c r="F949" s="40"/>
      <c r="G949" s="40"/>
    </row>
    <row r="950" spans="1:7">
      <c r="A950" s="39"/>
      <c r="B950" s="39"/>
      <c r="C950" s="39"/>
      <c r="D950" s="39"/>
      <c r="E950" s="39"/>
      <c r="F950" s="39"/>
      <c r="G950" s="39"/>
    </row>
    <row r="951" spans="1:7">
      <c r="A951" s="40"/>
      <c r="B951" s="40"/>
      <c r="C951" s="40"/>
      <c r="D951" s="40"/>
      <c r="E951" s="40"/>
      <c r="F951" s="40"/>
      <c r="G951" s="40"/>
    </row>
    <row r="952" spans="1:7">
      <c r="A952" s="39"/>
      <c r="B952" s="39"/>
      <c r="C952" s="39"/>
      <c r="D952" s="39"/>
      <c r="E952" s="39"/>
      <c r="F952" s="39"/>
      <c r="G952" s="39"/>
    </row>
    <row r="953" spans="1:7">
      <c r="A953" s="40"/>
      <c r="B953" s="40"/>
      <c r="C953" s="40"/>
      <c r="D953" s="40"/>
      <c r="E953" s="40"/>
      <c r="F953" s="40"/>
      <c r="G953" s="40"/>
    </row>
    <row r="954" spans="1:7">
      <c r="A954" s="39"/>
      <c r="B954" s="39"/>
      <c r="C954" s="39"/>
      <c r="D954" s="39"/>
      <c r="E954" s="39"/>
      <c r="F954" s="39"/>
      <c r="G954" s="39"/>
    </row>
    <row r="955" spans="1:7">
      <c r="A955" s="40"/>
      <c r="B955" s="40"/>
      <c r="C955" s="40"/>
      <c r="D955" s="40"/>
      <c r="E955" s="40"/>
      <c r="F955" s="40"/>
      <c r="G955" s="40"/>
    </row>
    <row r="956" spans="1:7">
      <c r="A956" s="39"/>
      <c r="B956" s="39"/>
      <c r="C956" s="39"/>
      <c r="D956" s="39"/>
      <c r="E956" s="39"/>
      <c r="F956" s="39"/>
      <c r="G956" s="39"/>
    </row>
    <row r="957" spans="1:7">
      <c r="A957" s="40"/>
      <c r="B957" s="40"/>
      <c r="C957" s="40"/>
      <c r="D957" s="40"/>
      <c r="E957" s="40"/>
      <c r="F957" s="40"/>
      <c r="G957" s="40"/>
    </row>
    <row r="958" spans="1:7">
      <c r="A958" s="39"/>
      <c r="B958" s="39"/>
      <c r="C958" s="39"/>
      <c r="D958" s="39"/>
      <c r="E958" s="39"/>
      <c r="F958" s="39"/>
      <c r="G958" s="39"/>
    </row>
    <row r="959" spans="1:7">
      <c r="A959" s="40"/>
      <c r="B959" s="40"/>
      <c r="C959" s="40"/>
      <c r="D959" s="40"/>
      <c r="E959" s="40"/>
      <c r="F959" s="40"/>
      <c r="G959" s="40"/>
    </row>
    <row r="960" spans="1:7">
      <c r="A960" s="39"/>
      <c r="B960" s="39"/>
      <c r="C960" s="39"/>
      <c r="D960" s="39"/>
      <c r="E960" s="39"/>
      <c r="F960" s="39"/>
      <c r="G960" s="39"/>
    </row>
    <row r="961" spans="1:7">
      <c r="A961" s="40"/>
      <c r="B961" s="40"/>
      <c r="C961" s="40"/>
      <c r="D961" s="40"/>
      <c r="E961" s="40"/>
      <c r="F961" s="40"/>
      <c r="G961" s="40"/>
    </row>
    <row r="962" spans="1:7">
      <c r="A962" s="39"/>
      <c r="B962" s="39"/>
      <c r="C962" s="39"/>
      <c r="D962" s="39"/>
      <c r="E962" s="39"/>
      <c r="F962" s="39"/>
      <c r="G962" s="39"/>
    </row>
    <row r="963" spans="1:7">
      <c r="A963" s="40"/>
      <c r="B963" s="40"/>
      <c r="C963" s="40"/>
      <c r="D963" s="40"/>
      <c r="E963" s="40"/>
      <c r="F963" s="40"/>
      <c r="G963" s="40"/>
    </row>
    <row r="964" spans="1:7">
      <c r="A964" s="39"/>
      <c r="B964" s="39"/>
      <c r="C964" s="39"/>
      <c r="D964" s="39"/>
      <c r="E964" s="39"/>
      <c r="F964" s="39"/>
      <c r="G964" s="39"/>
    </row>
    <row r="965" spans="1:7">
      <c r="A965" s="40"/>
      <c r="B965" s="40"/>
      <c r="C965" s="40"/>
      <c r="D965" s="40"/>
      <c r="E965" s="40"/>
      <c r="F965" s="40"/>
      <c r="G965" s="40"/>
    </row>
    <row r="966" spans="1:7">
      <c r="A966" s="39"/>
      <c r="B966" s="39"/>
      <c r="C966" s="39"/>
      <c r="D966" s="39"/>
      <c r="E966" s="39"/>
      <c r="F966" s="39"/>
      <c r="G966" s="39"/>
    </row>
    <row r="967" spans="1:7">
      <c r="A967" s="40"/>
      <c r="B967" s="40"/>
      <c r="C967" s="40"/>
      <c r="D967" s="40"/>
      <c r="E967" s="40"/>
      <c r="F967" s="40"/>
      <c r="G967" s="40"/>
    </row>
    <row r="968" spans="1:7">
      <c r="A968" s="39"/>
      <c r="B968" s="39"/>
      <c r="C968" s="39"/>
      <c r="D968" s="39"/>
      <c r="E968" s="39"/>
      <c r="F968" s="39"/>
      <c r="G968" s="39"/>
    </row>
    <row r="969" spans="1:7">
      <c r="A969" s="40"/>
      <c r="B969" s="40"/>
      <c r="C969" s="40"/>
      <c r="D969" s="40"/>
      <c r="E969" s="40"/>
      <c r="F969" s="40"/>
      <c r="G969" s="40"/>
    </row>
    <row r="970" spans="1:7">
      <c r="A970" s="39"/>
      <c r="B970" s="39"/>
      <c r="C970" s="39"/>
      <c r="D970" s="39"/>
      <c r="E970" s="39"/>
      <c r="F970" s="39"/>
      <c r="G970" s="39"/>
    </row>
    <row r="971" spans="1:7">
      <c r="A971" s="40"/>
      <c r="B971" s="40"/>
      <c r="C971" s="40"/>
      <c r="D971" s="40"/>
      <c r="E971" s="40"/>
      <c r="F971" s="40"/>
      <c r="G971" s="40"/>
    </row>
    <row r="972" spans="1:7">
      <c r="A972" s="39"/>
      <c r="B972" s="39"/>
      <c r="C972" s="39"/>
      <c r="D972" s="39"/>
      <c r="E972" s="39"/>
      <c r="F972" s="39"/>
      <c r="G972" s="39"/>
    </row>
    <row r="973" spans="1:7">
      <c r="A973" s="40"/>
      <c r="B973" s="40"/>
      <c r="C973" s="40"/>
      <c r="D973" s="40"/>
      <c r="E973" s="40"/>
      <c r="F973" s="40"/>
      <c r="G973" s="40"/>
    </row>
    <row r="974" spans="1:7">
      <c r="A974" s="39"/>
      <c r="B974" s="39"/>
      <c r="C974" s="39"/>
      <c r="D974" s="39"/>
      <c r="E974" s="39"/>
      <c r="F974" s="39"/>
      <c r="G974" s="39"/>
    </row>
    <row r="975" spans="1:7">
      <c r="A975" s="40"/>
      <c r="B975" s="40"/>
      <c r="C975" s="40"/>
      <c r="D975" s="40"/>
      <c r="E975" s="40"/>
      <c r="F975" s="40"/>
      <c r="G975" s="40"/>
    </row>
    <row r="976" spans="1:7">
      <c r="A976" s="39"/>
      <c r="B976" s="39"/>
      <c r="C976" s="39"/>
      <c r="D976" s="39"/>
      <c r="E976" s="39"/>
      <c r="F976" s="39"/>
      <c r="G976" s="39"/>
    </row>
    <row r="977" spans="1:7">
      <c r="A977" s="40"/>
      <c r="B977" s="40"/>
      <c r="C977" s="40"/>
      <c r="D977" s="40"/>
      <c r="E977" s="40"/>
      <c r="F977" s="40"/>
      <c r="G977" s="40"/>
    </row>
    <row r="978" spans="1:7">
      <c r="A978" s="39"/>
      <c r="B978" s="39"/>
      <c r="C978" s="39"/>
      <c r="D978" s="39"/>
      <c r="E978" s="39"/>
      <c r="F978" s="39"/>
      <c r="G978" s="39"/>
    </row>
    <row r="979" spans="1:7">
      <c r="A979" s="40"/>
      <c r="B979" s="40"/>
      <c r="C979" s="40"/>
      <c r="D979" s="40"/>
      <c r="E979" s="40"/>
      <c r="F979" s="40"/>
      <c r="G979" s="40"/>
    </row>
    <row r="980" spans="1:7">
      <c r="A980" s="39"/>
      <c r="B980" s="39"/>
      <c r="C980" s="39"/>
      <c r="D980" s="39"/>
      <c r="E980" s="39"/>
      <c r="F980" s="39"/>
      <c r="G980" s="39"/>
    </row>
    <row r="981" spans="1:7">
      <c r="A981" s="40"/>
      <c r="B981" s="40"/>
      <c r="C981" s="40"/>
      <c r="D981" s="40"/>
      <c r="E981" s="40"/>
      <c r="F981" s="40"/>
      <c r="G981" s="40"/>
    </row>
    <row r="982" spans="1:7">
      <c r="A982" s="39"/>
      <c r="B982" s="39"/>
      <c r="C982" s="39"/>
      <c r="D982" s="39"/>
      <c r="E982" s="39"/>
      <c r="F982" s="39"/>
      <c r="G982" s="39"/>
    </row>
    <row r="983" spans="1:7">
      <c r="A983" s="40"/>
      <c r="B983" s="40"/>
      <c r="C983" s="40"/>
      <c r="D983" s="40"/>
      <c r="E983" s="40"/>
      <c r="F983" s="40"/>
      <c r="G983" s="40"/>
    </row>
    <row r="984" spans="1:7">
      <c r="A984" s="39"/>
      <c r="B984" s="39"/>
      <c r="C984" s="39"/>
      <c r="D984" s="39"/>
      <c r="E984" s="39"/>
      <c r="F984" s="39"/>
      <c r="G984" s="39"/>
    </row>
    <row r="985" spans="1:7">
      <c r="A985" s="40"/>
      <c r="B985" s="40"/>
      <c r="C985" s="40"/>
      <c r="D985" s="40"/>
      <c r="E985" s="40"/>
      <c r="F985" s="40"/>
      <c r="G985" s="40"/>
    </row>
    <row r="986" spans="1:7">
      <c r="A986" s="39"/>
      <c r="B986" s="39"/>
      <c r="C986" s="39"/>
      <c r="D986" s="39"/>
      <c r="E986" s="39"/>
      <c r="F986" s="39"/>
      <c r="G986" s="39"/>
    </row>
    <row r="987" spans="1:7">
      <c r="A987" s="40"/>
      <c r="B987" s="40"/>
      <c r="C987" s="40"/>
      <c r="D987" s="40"/>
      <c r="E987" s="40"/>
      <c r="F987" s="40"/>
      <c r="G987" s="40"/>
    </row>
    <row r="988" spans="1:7">
      <c r="A988" s="39"/>
      <c r="B988" s="39"/>
      <c r="C988" s="39"/>
      <c r="D988" s="39"/>
      <c r="E988" s="39"/>
      <c r="F988" s="39"/>
      <c r="G988" s="39"/>
    </row>
    <row r="989" spans="1:7">
      <c r="A989" s="40"/>
      <c r="B989" s="40"/>
      <c r="C989" s="40"/>
      <c r="D989" s="40"/>
      <c r="E989" s="40"/>
      <c r="F989" s="40"/>
      <c r="G989" s="40"/>
    </row>
    <row r="990" spans="1:7">
      <c r="A990" s="39"/>
      <c r="B990" s="39"/>
      <c r="C990" s="39"/>
      <c r="D990" s="39"/>
      <c r="E990" s="39"/>
      <c r="F990" s="39"/>
      <c r="G990" s="39"/>
    </row>
    <row r="991" spans="1:7">
      <c r="A991" s="40"/>
      <c r="B991" s="40"/>
      <c r="C991" s="40"/>
      <c r="D991" s="40"/>
      <c r="E991" s="40"/>
      <c r="F991" s="40"/>
      <c r="G991" s="40"/>
    </row>
    <row r="992" spans="1:7">
      <c r="A992" s="39"/>
      <c r="B992" s="39"/>
      <c r="C992" s="39"/>
      <c r="D992" s="39"/>
      <c r="E992" s="39"/>
      <c r="F992" s="39"/>
      <c r="G992" s="39"/>
    </row>
    <row r="993" spans="1:7">
      <c r="A993" s="40"/>
      <c r="B993" s="40"/>
      <c r="C993" s="40"/>
      <c r="D993" s="40"/>
      <c r="E993" s="40"/>
      <c r="F993" s="40"/>
      <c r="G993" s="40"/>
    </row>
    <row r="994" spans="1:7">
      <c r="A994" s="39"/>
      <c r="B994" s="39"/>
      <c r="C994" s="39"/>
      <c r="D994" s="39"/>
      <c r="E994" s="39"/>
      <c r="F994" s="39"/>
      <c r="G994" s="39"/>
    </row>
    <row r="995" spans="1:7">
      <c r="A995" s="40"/>
      <c r="B995" s="40"/>
      <c r="C995" s="40"/>
      <c r="D995" s="40"/>
      <c r="E995" s="40"/>
      <c r="F995" s="40"/>
      <c r="G995" s="40"/>
    </row>
    <row r="996" spans="1:7">
      <c r="A996" s="39"/>
      <c r="B996" s="39"/>
      <c r="C996" s="39"/>
      <c r="D996" s="39"/>
      <c r="E996" s="39"/>
      <c r="F996" s="39"/>
      <c r="G996" s="39"/>
    </row>
    <row r="997" spans="1:7">
      <c r="A997" s="40"/>
      <c r="B997" s="40"/>
      <c r="C997" s="40"/>
      <c r="D997" s="40"/>
      <c r="E997" s="40"/>
      <c r="F997" s="40"/>
      <c r="G997" s="40"/>
    </row>
    <row r="998" spans="1:7">
      <c r="A998" s="39"/>
      <c r="B998" s="39"/>
      <c r="C998" s="39"/>
      <c r="D998" s="39"/>
      <c r="E998" s="39"/>
      <c r="F998" s="39"/>
      <c r="G998" s="39"/>
    </row>
    <row r="999" spans="1:7">
      <c r="A999" s="40"/>
      <c r="B999" s="40"/>
      <c r="C999" s="40"/>
      <c r="D999" s="40"/>
      <c r="E999" s="40"/>
      <c r="F999" s="40"/>
      <c r="G999" s="40"/>
    </row>
    <row r="1000" spans="1:7">
      <c r="A1000" s="39"/>
      <c r="B1000" s="39"/>
      <c r="C1000" s="39"/>
      <c r="D1000" s="39"/>
      <c r="E1000" s="39"/>
      <c r="F1000" s="39"/>
      <c r="G1000" s="39"/>
    </row>
    <row r="1001" spans="1:7">
      <c r="A1001" s="40"/>
      <c r="B1001" s="40"/>
      <c r="C1001" s="40"/>
      <c r="D1001" s="40"/>
      <c r="E1001" s="40"/>
      <c r="F1001" s="40"/>
      <c r="G1001" s="40"/>
    </row>
    <row r="1002" spans="1:7">
      <c r="A1002" s="39"/>
      <c r="B1002" s="39"/>
      <c r="C1002" s="39"/>
      <c r="D1002" s="39"/>
      <c r="E1002" s="39"/>
      <c r="F1002" s="39"/>
      <c r="G1002" s="39"/>
    </row>
    <row r="1003" spans="1:7">
      <c r="A1003" s="40"/>
      <c r="B1003" s="40"/>
      <c r="C1003" s="40"/>
      <c r="D1003" s="40"/>
      <c r="E1003" s="40"/>
      <c r="F1003" s="40"/>
      <c r="G1003" s="40"/>
    </row>
    <row r="1004" spans="1:7">
      <c r="A1004" s="39"/>
      <c r="B1004" s="39"/>
      <c r="C1004" s="39"/>
      <c r="D1004" s="39"/>
      <c r="E1004" s="39"/>
      <c r="F1004" s="39"/>
      <c r="G1004" s="39"/>
    </row>
    <row r="1005" spans="1:7">
      <c r="A1005" s="40"/>
      <c r="B1005" s="40"/>
      <c r="C1005" s="40"/>
      <c r="D1005" s="40"/>
      <c r="E1005" s="40"/>
      <c r="F1005" s="40"/>
      <c r="G1005" s="40"/>
    </row>
    <row r="1006" spans="1:7">
      <c r="A1006" s="39"/>
      <c r="B1006" s="39"/>
      <c r="C1006" s="39"/>
      <c r="D1006" s="39"/>
      <c r="E1006" s="39"/>
      <c r="F1006" s="39"/>
      <c r="G1006" s="39"/>
    </row>
    <row r="1007" spans="1:7">
      <c r="A1007" s="40"/>
      <c r="B1007" s="40"/>
      <c r="C1007" s="40"/>
      <c r="D1007" s="40"/>
      <c r="E1007" s="40"/>
      <c r="F1007" s="40"/>
      <c r="G1007" s="40"/>
    </row>
    <row r="1008" spans="1:7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8977-9CA4-F944-B169-01635A7A56B9}">
  <dimension ref="A1:L1008"/>
  <sheetViews>
    <sheetView workbookViewId="0"/>
  </sheetViews>
  <sheetFormatPr defaultColWidth="10.85546875" defaultRowHeight="15"/>
  <cols>
    <col min="1" max="1" width="11.85546875" style="37" bestFit="1" customWidth="1"/>
    <col min="2" max="16384" width="10.85546875" style="37"/>
  </cols>
  <sheetData>
    <row r="1" spans="1:12">
      <c r="A1" s="36" t="s">
        <v>119</v>
      </c>
      <c r="B1" s="36" t="s">
        <v>115</v>
      </c>
      <c r="G1" s="38" t="s">
        <v>125</v>
      </c>
    </row>
    <row r="3" spans="1:12">
      <c r="A3" s="38" t="s">
        <v>120</v>
      </c>
    </row>
    <row r="4" spans="1:12">
      <c r="A4" s="39" t="s">
        <v>86</v>
      </c>
      <c r="B4" s="39" t="s">
        <v>126</v>
      </c>
      <c r="C4" s="39" t="s">
        <v>127</v>
      </c>
      <c r="D4" s="39" t="s">
        <v>128</v>
      </c>
      <c r="E4" s="39"/>
      <c r="F4" s="39"/>
      <c r="G4" s="39"/>
      <c r="H4" s="39"/>
      <c r="I4" s="39"/>
      <c r="J4" s="39"/>
      <c r="K4" s="39"/>
      <c r="L4" s="39"/>
    </row>
    <row r="5" spans="1:12">
      <c r="A5" s="38" t="s">
        <v>121</v>
      </c>
    </row>
    <row r="6" spans="1:12">
      <c r="A6" s="41" t="s">
        <v>122</v>
      </c>
      <c r="B6" s="40" t="s">
        <v>124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>
      <c r="A8" s="36" t="s">
        <v>86</v>
      </c>
      <c r="B8" s="36" t="s">
        <v>126</v>
      </c>
      <c r="C8" s="36" t="s">
        <v>127</v>
      </c>
      <c r="D8" s="36" t="s">
        <v>128</v>
      </c>
      <c r="E8" s="36" t="s">
        <v>115</v>
      </c>
      <c r="F8" s="36" t="s">
        <v>122</v>
      </c>
      <c r="G8" s="36" t="s">
        <v>124</v>
      </c>
      <c r="J8" s="38" t="s">
        <v>129</v>
      </c>
    </row>
    <row r="9" spans="1:12">
      <c r="A9" s="40">
        <v>2014</v>
      </c>
      <c r="B9" s="40" t="s">
        <v>103</v>
      </c>
      <c r="C9" s="40" t="s">
        <v>44</v>
      </c>
      <c r="D9" s="40" t="s">
        <v>149</v>
      </c>
      <c r="E9" s="43">
        <v>4944.2640000000001</v>
      </c>
      <c r="F9" s="40"/>
      <c r="G9" s="40">
        <v>760</v>
      </c>
    </row>
    <row r="10" spans="1:12">
      <c r="A10" s="39">
        <v>2015</v>
      </c>
      <c r="B10" s="39" t="s">
        <v>103</v>
      </c>
      <c r="C10" s="39" t="s">
        <v>44</v>
      </c>
      <c r="D10" s="39" t="s">
        <v>149</v>
      </c>
      <c r="E10" s="44">
        <v>5189.1450000000004</v>
      </c>
      <c r="F10" s="39"/>
      <c r="G10" s="39">
        <v>798</v>
      </c>
    </row>
    <row r="11" spans="1:12">
      <c r="A11" s="40">
        <v>2016</v>
      </c>
      <c r="B11" s="40" t="s">
        <v>103</v>
      </c>
      <c r="C11" s="40" t="s">
        <v>44</v>
      </c>
      <c r="D11" s="40" t="s">
        <v>149</v>
      </c>
      <c r="E11" s="43">
        <v>5219.058</v>
      </c>
      <c r="F11" s="40"/>
      <c r="G11" s="40">
        <v>802</v>
      </c>
    </row>
    <row r="12" spans="1:12">
      <c r="A12" s="39">
        <v>2017</v>
      </c>
      <c r="B12" s="39" t="s">
        <v>103</v>
      </c>
      <c r="C12" s="39" t="s">
        <v>44</v>
      </c>
      <c r="D12" s="39" t="s">
        <v>149</v>
      </c>
      <c r="E12" s="44">
        <v>4220.268</v>
      </c>
      <c r="F12" s="39"/>
      <c r="G12" s="39">
        <v>648</v>
      </c>
    </row>
    <row r="13" spans="1:12">
      <c r="A13" s="40">
        <v>2014</v>
      </c>
      <c r="B13" s="40" t="s">
        <v>103</v>
      </c>
      <c r="C13" s="40" t="s">
        <v>44</v>
      </c>
      <c r="D13" s="40" t="s">
        <v>150</v>
      </c>
      <c r="E13" s="40">
        <v>51956</v>
      </c>
      <c r="F13" s="40"/>
      <c r="G13" s="43">
        <v>7991</v>
      </c>
    </row>
    <row r="14" spans="1:12">
      <c r="A14" s="39">
        <v>2015</v>
      </c>
      <c r="B14" s="39" t="s">
        <v>103</v>
      </c>
      <c r="C14" s="39" t="s">
        <v>44</v>
      </c>
      <c r="D14" s="39" t="s">
        <v>150</v>
      </c>
      <c r="E14" s="39">
        <v>58546</v>
      </c>
      <c r="F14" s="39"/>
      <c r="G14" s="44">
        <v>9004</v>
      </c>
    </row>
    <row r="15" spans="1:12">
      <c r="A15" s="40">
        <v>2016</v>
      </c>
      <c r="B15" s="40" t="s">
        <v>103</v>
      </c>
      <c r="C15" s="40" t="s">
        <v>44</v>
      </c>
      <c r="D15" s="40" t="s">
        <v>150</v>
      </c>
      <c r="E15" s="40">
        <v>60639</v>
      </c>
      <c r="F15" s="40"/>
      <c r="G15" s="43">
        <v>9326.5</v>
      </c>
    </row>
    <row r="16" spans="1:12">
      <c r="A16" s="39">
        <v>2017</v>
      </c>
      <c r="B16" s="39" t="s">
        <v>103</v>
      </c>
      <c r="C16" s="39" t="s">
        <v>44</v>
      </c>
      <c r="D16" s="39" t="s">
        <v>150</v>
      </c>
      <c r="E16" s="39">
        <v>63246</v>
      </c>
      <c r="F16" s="39"/>
      <c r="G16" s="44">
        <v>9727.5</v>
      </c>
    </row>
    <row r="17" spans="1:7">
      <c r="A17" s="40">
        <v>2014</v>
      </c>
      <c r="B17" s="40" t="s">
        <v>103</v>
      </c>
      <c r="C17" s="40" t="s">
        <v>43</v>
      </c>
      <c r="D17" s="40" t="s">
        <v>149</v>
      </c>
      <c r="E17" s="43">
        <v>4807.7359999999999</v>
      </c>
      <c r="F17" s="40"/>
      <c r="G17" s="43">
        <v>739</v>
      </c>
    </row>
    <row r="18" spans="1:7">
      <c r="A18" s="39">
        <v>2015</v>
      </c>
      <c r="B18" s="39" t="s">
        <v>103</v>
      </c>
      <c r="C18" s="39" t="s">
        <v>43</v>
      </c>
      <c r="D18" s="39" t="s">
        <v>149</v>
      </c>
      <c r="E18" s="44">
        <v>5045.8549999999996</v>
      </c>
      <c r="F18" s="39"/>
      <c r="G18" s="44">
        <v>776</v>
      </c>
    </row>
    <row r="19" spans="1:7">
      <c r="A19" s="40">
        <v>2016</v>
      </c>
      <c r="B19" s="40" t="s">
        <v>103</v>
      </c>
      <c r="C19" s="40" t="s">
        <v>43</v>
      </c>
      <c r="D19" s="40" t="s">
        <v>149</v>
      </c>
      <c r="E19" s="43">
        <v>5074.942</v>
      </c>
      <c r="F19" s="40"/>
      <c r="G19" s="43">
        <v>780</v>
      </c>
    </row>
    <row r="20" spans="1:7">
      <c r="A20" s="39">
        <v>2017</v>
      </c>
      <c r="B20" s="39" t="s">
        <v>103</v>
      </c>
      <c r="C20" s="39" t="s">
        <v>43</v>
      </c>
      <c r="D20" s="39" t="s">
        <v>149</v>
      </c>
      <c r="E20" s="44">
        <v>4103.732</v>
      </c>
      <c r="F20" s="39"/>
      <c r="G20" s="44">
        <v>631</v>
      </c>
    </row>
    <row r="21" spans="1:7">
      <c r="A21" s="40">
        <v>2014</v>
      </c>
      <c r="B21" s="40" t="s">
        <v>103</v>
      </c>
      <c r="C21" s="40" t="s">
        <v>43</v>
      </c>
      <c r="D21" s="40" t="s">
        <v>150</v>
      </c>
      <c r="E21" s="40">
        <v>80016</v>
      </c>
      <c r="F21" s="40"/>
      <c r="G21" s="43">
        <v>12306</v>
      </c>
    </row>
    <row r="22" spans="1:7">
      <c r="A22" s="39">
        <v>2015</v>
      </c>
      <c r="B22" s="39" t="s">
        <v>103</v>
      </c>
      <c r="C22" s="39" t="s">
        <v>43</v>
      </c>
      <c r="D22" s="39" t="s">
        <v>150</v>
      </c>
      <c r="E22" s="39">
        <v>90039</v>
      </c>
      <c r="F22" s="39"/>
      <c r="G22" s="44">
        <v>13848</v>
      </c>
    </row>
    <row r="23" spans="1:7">
      <c r="A23" s="40">
        <v>2016</v>
      </c>
      <c r="B23" s="40" t="s">
        <v>103</v>
      </c>
      <c r="C23" s="40" t="s">
        <v>43</v>
      </c>
      <c r="D23" s="40" t="s">
        <v>150</v>
      </c>
      <c r="E23" s="40">
        <v>96709</v>
      </c>
      <c r="F23" s="40"/>
      <c r="G23" s="43">
        <v>14873.5</v>
      </c>
    </row>
    <row r="24" spans="1:7">
      <c r="A24" s="39">
        <v>2017</v>
      </c>
      <c r="B24" s="39" t="s">
        <v>103</v>
      </c>
      <c r="C24" s="39" t="s">
        <v>43</v>
      </c>
      <c r="D24" s="39" t="s">
        <v>150</v>
      </c>
      <c r="E24" s="39">
        <v>103121</v>
      </c>
      <c r="F24" s="39"/>
      <c r="G24" s="44">
        <v>15860</v>
      </c>
    </row>
    <row r="25" spans="1:7">
      <c r="A25" s="40">
        <v>2014</v>
      </c>
      <c r="B25" s="40" t="s">
        <v>102</v>
      </c>
      <c r="C25" s="40" t="s">
        <v>44</v>
      </c>
      <c r="D25" s="40" t="s">
        <v>149</v>
      </c>
      <c r="E25" s="43">
        <v>1819.623</v>
      </c>
      <c r="F25" s="40"/>
      <c r="G25" s="43">
        <v>279</v>
      </c>
    </row>
    <row r="26" spans="1:7">
      <c r="A26" s="39">
        <v>2015</v>
      </c>
      <c r="B26" s="39" t="s">
        <v>102</v>
      </c>
      <c r="C26" s="39" t="s">
        <v>44</v>
      </c>
      <c r="D26" s="39" t="s">
        <v>149</v>
      </c>
      <c r="E26" s="44">
        <v>2345.8890000000001</v>
      </c>
      <c r="F26" s="39"/>
      <c r="G26" s="44">
        <v>360</v>
      </c>
    </row>
    <row r="27" spans="1:7">
      <c r="A27" s="40">
        <v>2016</v>
      </c>
      <c r="B27" s="40" t="s">
        <v>102</v>
      </c>
      <c r="C27" s="40" t="s">
        <v>44</v>
      </c>
      <c r="D27" s="40" t="s">
        <v>149</v>
      </c>
      <c r="E27" s="43">
        <v>2638.4279999999999</v>
      </c>
      <c r="F27" s="40"/>
      <c r="G27" s="43">
        <v>405</v>
      </c>
    </row>
    <row r="28" spans="1:7">
      <c r="A28" s="39">
        <v>2017</v>
      </c>
      <c r="B28" s="39" t="s">
        <v>102</v>
      </c>
      <c r="C28" s="39" t="s">
        <v>44</v>
      </c>
      <c r="D28" s="39" t="s">
        <v>149</v>
      </c>
      <c r="E28" s="44">
        <v>3017.6640000000002</v>
      </c>
      <c r="F28" s="39"/>
      <c r="G28" s="44">
        <v>464</v>
      </c>
    </row>
    <row r="29" spans="1:7">
      <c r="A29" s="40">
        <v>2014</v>
      </c>
      <c r="B29" s="40" t="s">
        <v>102</v>
      </c>
      <c r="C29" s="40" t="s">
        <v>44</v>
      </c>
      <c r="D29" s="40" t="s">
        <v>150</v>
      </c>
      <c r="E29" s="45">
        <v>24430</v>
      </c>
      <c r="F29" s="40"/>
      <c r="G29" s="43">
        <v>3757</v>
      </c>
    </row>
    <row r="30" spans="1:7">
      <c r="A30" s="39">
        <v>2015</v>
      </c>
      <c r="B30" s="39" t="s">
        <v>102</v>
      </c>
      <c r="C30" s="39" t="s">
        <v>44</v>
      </c>
      <c r="D30" s="39" t="s">
        <v>150</v>
      </c>
      <c r="E30" s="46">
        <v>31089</v>
      </c>
      <c r="F30" s="39"/>
      <c r="G30" s="44">
        <v>4781</v>
      </c>
    </row>
    <row r="31" spans="1:7">
      <c r="A31" s="40">
        <v>2016</v>
      </c>
      <c r="B31" s="40" t="s">
        <v>102</v>
      </c>
      <c r="C31" s="40" t="s">
        <v>44</v>
      </c>
      <c r="D31" s="40" t="s">
        <v>150</v>
      </c>
      <c r="E31" s="45">
        <v>35360</v>
      </c>
      <c r="F31" s="40"/>
      <c r="G31" s="43">
        <v>5438</v>
      </c>
    </row>
    <row r="32" spans="1:7">
      <c r="A32" s="39">
        <v>2017</v>
      </c>
      <c r="B32" s="39" t="s">
        <v>102</v>
      </c>
      <c r="C32" s="39" t="s">
        <v>44</v>
      </c>
      <c r="D32" s="39" t="s">
        <v>150</v>
      </c>
      <c r="E32" s="46">
        <v>41444</v>
      </c>
      <c r="F32" s="39"/>
      <c r="G32" s="44">
        <v>6374</v>
      </c>
    </row>
    <row r="33" spans="1:7">
      <c r="A33" s="40">
        <v>2014</v>
      </c>
      <c r="B33" s="40" t="s">
        <v>102</v>
      </c>
      <c r="C33" s="40" t="s">
        <v>43</v>
      </c>
      <c r="D33" s="40" t="s">
        <v>149</v>
      </c>
      <c r="E33" s="43">
        <v>1769.377</v>
      </c>
      <c r="F33" s="40"/>
      <c r="G33" s="43">
        <v>272</v>
      </c>
    </row>
    <row r="34" spans="1:7">
      <c r="A34" s="39">
        <v>2015</v>
      </c>
      <c r="B34" s="39" t="s">
        <v>102</v>
      </c>
      <c r="C34" s="39" t="s">
        <v>43</v>
      </c>
      <c r="D34" s="39" t="s">
        <v>149</v>
      </c>
      <c r="E34" s="44">
        <v>2281.1109999999999</v>
      </c>
      <c r="F34" s="39"/>
      <c r="G34" s="44">
        <v>350</v>
      </c>
    </row>
    <row r="35" spans="1:7">
      <c r="A35" s="40">
        <v>2016</v>
      </c>
      <c r="B35" s="40" t="s">
        <v>102</v>
      </c>
      <c r="C35" s="40" t="s">
        <v>43</v>
      </c>
      <c r="D35" s="40" t="s">
        <v>149</v>
      </c>
      <c r="E35" s="43">
        <v>2565.5720000000001</v>
      </c>
      <c r="F35" s="40"/>
      <c r="G35" s="43">
        <v>394</v>
      </c>
    </row>
    <row r="36" spans="1:7">
      <c r="A36" s="39">
        <v>2017</v>
      </c>
      <c r="B36" s="39" t="s">
        <v>102</v>
      </c>
      <c r="C36" s="39" t="s">
        <v>43</v>
      </c>
      <c r="D36" s="39" t="s">
        <v>149</v>
      </c>
      <c r="E36" s="44">
        <v>2934.3359999999998</v>
      </c>
      <c r="F36" s="39"/>
      <c r="G36" s="44">
        <v>451</v>
      </c>
    </row>
    <row r="37" spans="1:7">
      <c r="A37" s="40">
        <v>2014</v>
      </c>
      <c r="B37" s="40" t="s">
        <v>102</v>
      </c>
      <c r="C37" s="40" t="s">
        <v>43</v>
      </c>
      <c r="D37" s="40" t="s">
        <v>150</v>
      </c>
      <c r="E37" s="43">
        <v>35049</v>
      </c>
      <c r="F37" s="40"/>
      <c r="G37" s="43">
        <v>5390</v>
      </c>
    </row>
    <row r="38" spans="1:7">
      <c r="A38" s="39">
        <v>2015</v>
      </c>
      <c r="B38" s="39" t="s">
        <v>102</v>
      </c>
      <c r="C38" s="39" t="s">
        <v>43</v>
      </c>
      <c r="D38" s="39" t="s">
        <v>150</v>
      </c>
      <c r="E38" s="44">
        <v>46551</v>
      </c>
      <c r="F38" s="39"/>
      <c r="G38" s="44">
        <v>7159</v>
      </c>
    </row>
    <row r="39" spans="1:7">
      <c r="A39" s="40">
        <v>2016</v>
      </c>
      <c r="B39" s="40" t="s">
        <v>102</v>
      </c>
      <c r="C39" s="40" t="s">
        <v>43</v>
      </c>
      <c r="D39" s="40" t="s">
        <v>150</v>
      </c>
      <c r="E39" s="43">
        <v>50222</v>
      </c>
      <c r="F39" s="40"/>
      <c r="G39" s="43">
        <v>7724</v>
      </c>
    </row>
    <row r="40" spans="1:7">
      <c r="A40" s="39">
        <v>2017</v>
      </c>
      <c r="B40" s="39" t="s">
        <v>102</v>
      </c>
      <c r="C40" s="39" t="s">
        <v>43</v>
      </c>
      <c r="D40" s="39" t="s">
        <v>150</v>
      </c>
      <c r="E40" s="44">
        <v>59387</v>
      </c>
      <c r="F40" s="39"/>
      <c r="G40" s="44">
        <v>9134</v>
      </c>
    </row>
    <row r="41" spans="1:7">
      <c r="A41" s="40">
        <v>2014</v>
      </c>
      <c r="B41" s="40" t="s">
        <v>108</v>
      </c>
      <c r="C41" s="40" t="s">
        <v>44</v>
      </c>
      <c r="D41" s="40" t="s">
        <v>149</v>
      </c>
      <c r="E41" s="43">
        <v>629.18700000000001</v>
      </c>
      <c r="F41" s="40"/>
      <c r="G41" s="40">
        <v>96</v>
      </c>
    </row>
    <row r="42" spans="1:7">
      <c r="A42" s="39">
        <v>2015</v>
      </c>
      <c r="B42" s="39" t="s">
        <v>108</v>
      </c>
      <c r="C42" s="39" t="s">
        <v>44</v>
      </c>
      <c r="D42" s="39" t="s">
        <v>149</v>
      </c>
      <c r="E42" s="44">
        <v>737.68500000000006</v>
      </c>
      <c r="F42" s="39"/>
      <c r="G42" s="39">
        <v>113</v>
      </c>
    </row>
    <row r="43" spans="1:7">
      <c r="A43" s="40">
        <v>2016</v>
      </c>
      <c r="B43" s="40" t="s">
        <v>108</v>
      </c>
      <c r="C43" s="40" t="s">
        <v>44</v>
      </c>
      <c r="D43" s="40" t="s">
        <v>149</v>
      </c>
      <c r="E43" s="43">
        <v>820.83299999999997</v>
      </c>
      <c r="F43" s="40"/>
      <c r="G43" s="40">
        <v>126</v>
      </c>
    </row>
    <row r="44" spans="1:7">
      <c r="A44" s="39">
        <v>2017</v>
      </c>
      <c r="B44" s="39" t="s">
        <v>108</v>
      </c>
      <c r="C44" s="39" t="s">
        <v>44</v>
      </c>
      <c r="D44" s="39" t="s">
        <v>149</v>
      </c>
      <c r="E44" s="44">
        <v>663.15600000000006</v>
      </c>
      <c r="F44" s="39"/>
      <c r="G44" s="39">
        <v>101</v>
      </c>
    </row>
    <row r="45" spans="1:7">
      <c r="A45" s="40">
        <v>2014</v>
      </c>
      <c r="B45" s="40" t="s">
        <v>108</v>
      </c>
      <c r="C45" s="40" t="s">
        <v>44</v>
      </c>
      <c r="D45" s="40" t="s">
        <v>150</v>
      </c>
      <c r="E45" s="45">
        <v>5080</v>
      </c>
      <c r="F45" s="40"/>
      <c r="G45" s="40">
        <v>781</v>
      </c>
    </row>
    <row r="46" spans="1:7">
      <c r="A46" s="39">
        <v>2015</v>
      </c>
      <c r="B46" s="39" t="s">
        <v>108</v>
      </c>
      <c r="C46" s="39" t="s">
        <v>44</v>
      </c>
      <c r="D46" s="39" t="s">
        <v>150</v>
      </c>
      <c r="E46" s="46">
        <v>6507</v>
      </c>
      <c r="F46" s="39"/>
      <c r="G46" s="39">
        <v>1000</v>
      </c>
    </row>
    <row r="47" spans="1:7">
      <c r="A47" s="40">
        <v>2016</v>
      </c>
      <c r="B47" s="40" t="s">
        <v>108</v>
      </c>
      <c r="C47" s="40" t="s">
        <v>44</v>
      </c>
      <c r="D47" s="40" t="s">
        <v>150</v>
      </c>
      <c r="E47" s="45">
        <v>7247</v>
      </c>
      <c r="F47" s="40"/>
      <c r="G47" s="40">
        <v>1114</v>
      </c>
    </row>
    <row r="48" spans="1:7">
      <c r="A48" s="39">
        <v>2017</v>
      </c>
      <c r="B48" s="39" t="s">
        <v>108</v>
      </c>
      <c r="C48" s="39" t="s">
        <v>44</v>
      </c>
      <c r="D48" s="39" t="s">
        <v>150</v>
      </c>
      <c r="E48" s="46">
        <v>6048</v>
      </c>
      <c r="F48" s="39"/>
      <c r="G48" s="39">
        <v>930</v>
      </c>
    </row>
    <row r="49" spans="1:7">
      <c r="A49" s="40">
        <v>2014</v>
      </c>
      <c r="B49" s="40" t="s">
        <v>108</v>
      </c>
      <c r="C49" s="40" t="s">
        <v>43</v>
      </c>
      <c r="D49" s="40" t="s">
        <v>149</v>
      </c>
      <c r="E49" s="43">
        <v>611.81299999999999</v>
      </c>
      <c r="F49" s="40"/>
      <c r="G49" s="40">
        <v>93</v>
      </c>
    </row>
    <row r="50" spans="1:7">
      <c r="A50" s="39">
        <v>2015</v>
      </c>
      <c r="B50" s="39" t="s">
        <v>108</v>
      </c>
      <c r="C50" s="39" t="s">
        <v>43</v>
      </c>
      <c r="D50" s="39" t="s">
        <v>149</v>
      </c>
      <c r="E50" s="44">
        <v>717.31499999999994</v>
      </c>
      <c r="F50" s="39"/>
      <c r="G50" s="39">
        <v>110</v>
      </c>
    </row>
    <row r="51" spans="1:7">
      <c r="A51" s="40">
        <v>2016</v>
      </c>
      <c r="B51" s="40" t="s">
        <v>108</v>
      </c>
      <c r="C51" s="40" t="s">
        <v>43</v>
      </c>
      <c r="D51" s="40" t="s">
        <v>149</v>
      </c>
      <c r="E51" s="43">
        <v>798.16700000000003</v>
      </c>
      <c r="F51" s="40"/>
      <c r="G51" s="40">
        <v>122</v>
      </c>
    </row>
    <row r="52" spans="1:7">
      <c r="A52" s="39">
        <v>2017</v>
      </c>
      <c r="B52" s="39" t="s">
        <v>108</v>
      </c>
      <c r="C52" s="39" t="s">
        <v>43</v>
      </c>
      <c r="D52" s="39" t="s">
        <v>149</v>
      </c>
      <c r="E52" s="44">
        <v>644.84399999999994</v>
      </c>
      <c r="F52" s="39"/>
      <c r="G52" s="39">
        <v>99</v>
      </c>
    </row>
    <row r="53" spans="1:7">
      <c r="A53" s="40">
        <v>2014</v>
      </c>
      <c r="B53" s="40" t="s">
        <v>108</v>
      </c>
      <c r="C53" s="40" t="s">
        <v>43</v>
      </c>
      <c r="D53" s="40" t="s">
        <v>150</v>
      </c>
      <c r="E53" s="40">
        <v>9856</v>
      </c>
      <c r="F53" s="40"/>
      <c r="G53" s="40">
        <v>1516</v>
      </c>
    </row>
    <row r="54" spans="1:7">
      <c r="A54" s="39">
        <v>2015</v>
      </c>
      <c r="B54" s="39" t="s">
        <v>108</v>
      </c>
      <c r="C54" s="39" t="s">
        <v>43</v>
      </c>
      <c r="D54" s="39" t="s">
        <v>150</v>
      </c>
      <c r="E54" s="39">
        <v>12089</v>
      </c>
      <c r="F54" s="39"/>
      <c r="G54" s="39">
        <v>1859</v>
      </c>
    </row>
    <row r="55" spans="1:7">
      <c r="A55" s="40">
        <v>2016</v>
      </c>
      <c r="B55" s="40" t="s">
        <v>108</v>
      </c>
      <c r="C55" s="40" t="s">
        <v>43</v>
      </c>
      <c r="D55" s="40" t="s">
        <v>150</v>
      </c>
      <c r="E55" s="40">
        <v>13915</v>
      </c>
      <c r="F55" s="40"/>
      <c r="G55" s="40">
        <v>2140</v>
      </c>
    </row>
    <row r="56" spans="1:7">
      <c r="A56" s="39">
        <v>2017</v>
      </c>
      <c r="B56" s="39" t="s">
        <v>108</v>
      </c>
      <c r="C56" s="39" t="s">
        <v>43</v>
      </c>
      <c r="D56" s="39" t="s">
        <v>150</v>
      </c>
      <c r="E56" s="39">
        <v>13970</v>
      </c>
      <c r="F56" s="39"/>
      <c r="G56" s="39">
        <v>2148</v>
      </c>
    </row>
    <row r="57" spans="1:7">
      <c r="A57" s="40">
        <v>2014</v>
      </c>
      <c r="B57" s="40" t="s">
        <v>111</v>
      </c>
      <c r="C57" s="40" t="s">
        <v>44</v>
      </c>
      <c r="D57" s="40" t="s">
        <v>149</v>
      </c>
      <c r="E57" s="43">
        <v>1464.723</v>
      </c>
      <c r="F57" s="43"/>
      <c r="G57" s="43">
        <v>225</v>
      </c>
    </row>
    <row r="58" spans="1:7">
      <c r="A58" s="39">
        <v>2015</v>
      </c>
      <c r="B58" s="39" t="s">
        <v>111</v>
      </c>
      <c r="C58" s="39" t="s">
        <v>44</v>
      </c>
      <c r="D58" s="39" t="s">
        <v>149</v>
      </c>
      <c r="E58" s="44">
        <v>1492.1010000000001</v>
      </c>
      <c r="F58" s="44"/>
      <c r="G58" s="44">
        <v>229</v>
      </c>
    </row>
    <row r="59" spans="1:7">
      <c r="A59" s="40">
        <v>2016</v>
      </c>
      <c r="B59" s="40" t="s">
        <v>111</v>
      </c>
      <c r="C59" s="40" t="s">
        <v>44</v>
      </c>
      <c r="D59" s="40" t="s">
        <v>149</v>
      </c>
      <c r="E59" s="43">
        <v>1443.9359999999999</v>
      </c>
      <c r="F59" s="43"/>
      <c r="G59" s="43">
        <v>222</v>
      </c>
    </row>
    <row r="60" spans="1:7">
      <c r="A60" s="39">
        <v>2017</v>
      </c>
      <c r="B60" s="39" t="s">
        <v>111</v>
      </c>
      <c r="C60" s="39" t="s">
        <v>44</v>
      </c>
      <c r="D60" s="39" t="s">
        <v>149</v>
      </c>
      <c r="E60" s="44">
        <v>1823.172</v>
      </c>
      <c r="F60" s="44"/>
      <c r="G60" s="44">
        <v>280</v>
      </c>
    </row>
    <row r="61" spans="1:7">
      <c r="A61" s="40">
        <v>2014</v>
      </c>
      <c r="B61" s="40" t="s">
        <v>111</v>
      </c>
      <c r="C61" s="40" t="s">
        <v>44</v>
      </c>
      <c r="D61" s="40" t="s">
        <v>150</v>
      </c>
      <c r="E61" s="43">
        <v>14367</v>
      </c>
      <c r="F61" s="43"/>
      <c r="G61" s="43">
        <v>2210</v>
      </c>
    </row>
    <row r="62" spans="1:7">
      <c r="A62" s="39">
        <v>2015</v>
      </c>
      <c r="B62" s="39" t="s">
        <v>111</v>
      </c>
      <c r="C62" s="39" t="s">
        <v>44</v>
      </c>
      <c r="D62" s="39" t="s">
        <v>150</v>
      </c>
      <c r="E62" s="44">
        <v>15686</v>
      </c>
      <c r="F62" s="44"/>
      <c r="G62" s="44">
        <v>2412.5</v>
      </c>
    </row>
    <row r="63" spans="1:7">
      <c r="A63" s="40">
        <v>2016</v>
      </c>
      <c r="B63" s="40" t="s">
        <v>111</v>
      </c>
      <c r="C63" s="40" t="s">
        <v>44</v>
      </c>
      <c r="D63" s="40" t="s">
        <v>150</v>
      </c>
      <c r="E63" s="43">
        <v>15751</v>
      </c>
      <c r="F63" s="43"/>
      <c r="G63" s="43">
        <v>2422.5</v>
      </c>
    </row>
    <row r="64" spans="1:7">
      <c r="A64" s="39">
        <v>2017</v>
      </c>
      <c r="B64" s="39" t="s">
        <v>111</v>
      </c>
      <c r="C64" s="39" t="s">
        <v>44</v>
      </c>
      <c r="D64" s="39" t="s">
        <v>150</v>
      </c>
      <c r="E64" s="44">
        <v>19900</v>
      </c>
      <c r="F64" s="44"/>
      <c r="G64" s="44">
        <v>3061</v>
      </c>
    </row>
    <row r="65" spans="1:7">
      <c r="A65" s="40">
        <v>2014</v>
      </c>
      <c r="B65" s="40" t="s">
        <v>111</v>
      </c>
      <c r="C65" s="40" t="s">
        <v>43</v>
      </c>
      <c r="D65" s="40" t="s">
        <v>149</v>
      </c>
      <c r="E65" s="43">
        <v>1424.277</v>
      </c>
      <c r="F65" s="43"/>
      <c r="G65" s="43">
        <v>219</v>
      </c>
    </row>
    <row r="66" spans="1:7">
      <c r="A66" s="39">
        <v>2015</v>
      </c>
      <c r="B66" s="39" t="s">
        <v>111</v>
      </c>
      <c r="C66" s="39" t="s">
        <v>43</v>
      </c>
      <c r="D66" s="39" t="s">
        <v>149</v>
      </c>
      <c r="E66" s="44">
        <v>1450.8989999999999</v>
      </c>
      <c r="F66" s="44"/>
      <c r="G66" s="44">
        <v>223</v>
      </c>
    </row>
    <row r="67" spans="1:7">
      <c r="A67" s="40">
        <v>2016</v>
      </c>
      <c r="B67" s="40" t="s">
        <v>111</v>
      </c>
      <c r="C67" s="40" t="s">
        <v>43</v>
      </c>
      <c r="D67" s="40" t="s">
        <v>149</v>
      </c>
      <c r="E67" s="43">
        <v>1404.0640000000001</v>
      </c>
      <c r="F67" s="43"/>
      <c r="G67" s="43">
        <v>215</v>
      </c>
    </row>
    <row r="68" spans="1:7">
      <c r="A68" s="39">
        <v>2017</v>
      </c>
      <c r="B68" s="39" t="s">
        <v>111</v>
      </c>
      <c r="C68" s="39" t="s">
        <v>43</v>
      </c>
      <c r="D68" s="39" t="s">
        <v>149</v>
      </c>
      <c r="E68" s="44">
        <v>1772.828</v>
      </c>
      <c r="F68" s="44"/>
      <c r="G68" s="44">
        <v>272</v>
      </c>
    </row>
    <row r="69" spans="1:7">
      <c r="A69" s="40">
        <v>2014</v>
      </c>
      <c r="B69" s="40" t="s">
        <v>111</v>
      </c>
      <c r="C69" s="40" t="s">
        <v>43</v>
      </c>
      <c r="D69" s="40" t="s">
        <v>150</v>
      </c>
      <c r="E69" s="43">
        <v>24974</v>
      </c>
      <c r="F69" s="43"/>
      <c r="G69" s="43">
        <v>3841</v>
      </c>
    </row>
    <row r="70" spans="1:7">
      <c r="A70" s="39">
        <v>2015</v>
      </c>
      <c r="B70" s="39" t="s">
        <v>111</v>
      </c>
      <c r="C70" s="39" t="s">
        <v>43</v>
      </c>
      <c r="D70" s="39" t="s">
        <v>150</v>
      </c>
      <c r="E70" s="44">
        <v>29304</v>
      </c>
      <c r="F70" s="44"/>
      <c r="G70" s="44">
        <v>4507</v>
      </c>
    </row>
    <row r="71" spans="1:7">
      <c r="A71" s="40">
        <v>2016</v>
      </c>
      <c r="B71" s="40" t="s">
        <v>111</v>
      </c>
      <c r="C71" s="40" t="s">
        <v>43</v>
      </c>
      <c r="D71" s="40" t="s">
        <v>150</v>
      </c>
      <c r="E71" s="43">
        <v>30721</v>
      </c>
      <c r="F71" s="43"/>
      <c r="G71" s="43">
        <v>4725</v>
      </c>
    </row>
    <row r="72" spans="1:7">
      <c r="A72" s="39">
        <v>2017</v>
      </c>
      <c r="B72" s="39" t="s">
        <v>111</v>
      </c>
      <c r="C72" s="39" t="s">
        <v>43</v>
      </c>
      <c r="D72" s="39" t="s">
        <v>150</v>
      </c>
      <c r="E72" s="44">
        <v>36041</v>
      </c>
      <c r="F72" s="44"/>
      <c r="G72" s="44">
        <v>5543.5</v>
      </c>
    </row>
    <row r="73" spans="1:7">
      <c r="A73" s="40">
        <v>2014</v>
      </c>
      <c r="B73" s="40" t="s">
        <v>106</v>
      </c>
      <c r="C73" s="40" t="s">
        <v>44</v>
      </c>
      <c r="D73" s="40" t="s">
        <v>149</v>
      </c>
      <c r="E73" s="43">
        <v>5862.9480000000003</v>
      </c>
      <c r="F73" s="43"/>
      <c r="G73" s="43">
        <v>901</v>
      </c>
    </row>
    <row r="74" spans="1:7">
      <c r="A74" s="39">
        <v>2015</v>
      </c>
      <c r="B74" s="39" t="s">
        <v>106</v>
      </c>
      <c r="C74" s="39" t="s">
        <v>44</v>
      </c>
      <c r="D74" s="39" t="s">
        <v>149</v>
      </c>
      <c r="E74" s="44">
        <v>8577.9330000000009</v>
      </c>
      <c r="F74" s="44"/>
      <c r="G74" s="44">
        <v>1319</v>
      </c>
    </row>
    <row r="75" spans="1:7">
      <c r="A75" s="40">
        <v>2016</v>
      </c>
      <c r="B75" s="40" t="s">
        <v>106</v>
      </c>
      <c r="C75" s="40" t="s">
        <v>44</v>
      </c>
      <c r="D75" s="40" t="s">
        <v>149</v>
      </c>
      <c r="E75" s="43">
        <v>7191.2880000000005</v>
      </c>
      <c r="F75" s="43"/>
      <c r="G75" s="43">
        <v>1106</v>
      </c>
    </row>
    <row r="76" spans="1:7">
      <c r="A76" s="39">
        <v>2017</v>
      </c>
      <c r="B76" s="39" t="s">
        <v>106</v>
      </c>
      <c r="C76" s="39" t="s">
        <v>44</v>
      </c>
      <c r="D76" s="39" t="s">
        <v>149</v>
      </c>
      <c r="E76" s="44">
        <v>6232.5510000000004</v>
      </c>
      <c r="F76" s="44"/>
      <c r="G76" s="44">
        <v>958</v>
      </c>
    </row>
    <row r="77" spans="1:7">
      <c r="A77" s="40">
        <v>2014</v>
      </c>
      <c r="B77" s="40" t="s">
        <v>106</v>
      </c>
      <c r="C77" s="40" t="s">
        <v>44</v>
      </c>
      <c r="D77" s="40" t="s">
        <v>150</v>
      </c>
      <c r="E77" s="43">
        <v>63305</v>
      </c>
      <c r="F77" s="43"/>
      <c r="G77" s="43">
        <v>9737</v>
      </c>
    </row>
    <row r="78" spans="1:7">
      <c r="A78" s="39">
        <v>2015</v>
      </c>
      <c r="B78" s="39" t="s">
        <v>106</v>
      </c>
      <c r="C78" s="39" t="s">
        <v>44</v>
      </c>
      <c r="D78" s="39" t="s">
        <v>150</v>
      </c>
      <c r="E78" s="44">
        <v>78223</v>
      </c>
      <c r="F78" s="44"/>
      <c r="G78" s="44">
        <v>12031</v>
      </c>
    </row>
    <row r="79" spans="1:7">
      <c r="A79" s="40">
        <v>2016</v>
      </c>
      <c r="B79" s="40" t="s">
        <v>106</v>
      </c>
      <c r="C79" s="40" t="s">
        <v>44</v>
      </c>
      <c r="D79" s="40" t="s">
        <v>150</v>
      </c>
      <c r="E79" s="43">
        <v>82149</v>
      </c>
      <c r="F79" s="43"/>
      <c r="G79" s="43">
        <v>12635</v>
      </c>
    </row>
    <row r="80" spans="1:7">
      <c r="A80" s="39">
        <v>2017</v>
      </c>
      <c r="B80" s="39" t="s">
        <v>106</v>
      </c>
      <c r="C80" s="39" t="s">
        <v>44</v>
      </c>
      <c r="D80" s="39" t="s">
        <v>150</v>
      </c>
      <c r="E80" s="44">
        <v>80266</v>
      </c>
      <c r="F80" s="44"/>
      <c r="G80" s="44">
        <v>12345</v>
      </c>
    </row>
    <row r="81" spans="1:7">
      <c r="A81" s="40">
        <v>2014</v>
      </c>
      <c r="B81" s="40" t="s">
        <v>106</v>
      </c>
      <c r="C81" s="40" t="s">
        <v>43</v>
      </c>
      <c r="D81" s="40" t="s">
        <v>149</v>
      </c>
      <c r="E81" s="43">
        <v>5701.0519999999997</v>
      </c>
      <c r="F81" s="43"/>
      <c r="G81" s="43">
        <v>877</v>
      </c>
    </row>
    <row r="82" spans="1:7">
      <c r="A82" s="39">
        <v>2015</v>
      </c>
      <c r="B82" s="39" t="s">
        <v>106</v>
      </c>
      <c r="C82" s="39" t="s">
        <v>43</v>
      </c>
      <c r="D82" s="39" t="s">
        <v>149</v>
      </c>
      <c r="E82" s="44">
        <v>8341.0669999999991</v>
      </c>
      <c r="F82" s="44"/>
      <c r="G82" s="44">
        <v>1283</v>
      </c>
    </row>
    <row r="83" spans="1:7">
      <c r="A83" s="40">
        <v>2016</v>
      </c>
      <c r="B83" s="40" t="s">
        <v>106</v>
      </c>
      <c r="C83" s="40" t="s">
        <v>43</v>
      </c>
      <c r="D83" s="40" t="s">
        <v>149</v>
      </c>
      <c r="E83" s="43">
        <v>6992.7119999999995</v>
      </c>
      <c r="F83" s="43"/>
      <c r="G83" s="43">
        <v>1075</v>
      </c>
    </row>
    <row r="84" spans="1:7">
      <c r="A84" s="39">
        <v>2017</v>
      </c>
      <c r="B84" s="39" t="s">
        <v>106</v>
      </c>
      <c r="C84" s="39" t="s">
        <v>43</v>
      </c>
      <c r="D84" s="39" t="s">
        <v>149</v>
      </c>
      <c r="E84" s="44">
        <v>6060.4489999999996</v>
      </c>
      <c r="F84" s="44"/>
      <c r="G84" s="44">
        <v>932</v>
      </c>
    </row>
    <row r="85" spans="1:7">
      <c r="A85" s="40">
        <v>2014</v>
      </c>
      <c r="B85" s="40" t="s">
        <v>106</v>
      </c>
      <c r="C85" s="40" t="s">
        <v>43</v>
      </c>
      <c r="D85" s="40" t="s">
        <v>150</v>
      </c>
      <c r="E85" s="43">
        <v>100810</v>
      </c>
      <c r="F85" s="43"/>
      <c r="G85" s="43">
        <v>15505</v>
      </c>
    </row>
    <row r="86" spans="1:7">
      <c r="A86" s="39">
        <v>2015</v>
      </c>
      <c r="B86" s="39" t="s">
        <v>106</v>
      </c>
      <c r="C86" s="39" t="s">
        <v>43</v>
      </c>
      <c r="D86" s="39" t="s">
        <v>150</v>
      </c>
      <c r="E86" s="44">
        <v>125319</v>
      </c>
      <c r="F86" s="44"/>
      <c r="G86" s="44">
        <v>19274</v>
      </c>
    </row>
    <row r="87" spans="1:7">
      <c r="A87" s="40">
        <v>2016</v>
      </c>
      <c r="B87" s="40" t="s">
        <v>106</v>
      </c>
      <c r="C87" s="40" t="s">
        <v>43</v>
      </c>
      <c r="D87" s="40" t="s">
        <v>150</v>
      </c>
      <c r="E87" s="43">
        <v>131040</v>
      </c>
      <c r="F87" s="43"/>
      <c r="G87" s="43">
        <v>20155</v>
      </c>
    </row>
    <row r="88" spans="1:7">
      <c r="A88" s="39">
        <v>2017</v>
      </c>
      <c r="B88" s="39" t="s">
        <v>106</v>
      </c>
      <c r="C88" s="39" t="s">
        <v>43</v>
      </c>
      <c r="D88" s="39" t="s">
        <v>150</v>
      </c>
      <c r="E88" s="44">
        <v>136865</v>
      </c>
      <c r="F88" s="44"/>
      <c r="G88" s="44">
        <v>21050</v>
      </c>
    </row>
    <row r="89" spans="1:7">
      <c r="A89" s="40">
        <v>2014</v>
      </c>
      <c r="B89" s="40" t="s">
        <v>110</v>
      </c>
      <c r="C89" s="40" t="s">
        <v>44</v>
      </c>
      <c r="D89" s="40" t="s">
        <v>149</v>
      </c>
      <c r="E89" s="43">
        <v>3280.29</v>
      </c>
      <c r="F89" s="40"/>
      <c r="G89" s="40">
        <v>504</v>
      </c>
    </row>
    <row r="90" spans="1:7">
      <c r="A90" s="39">
        <v>2015</v>
      </c>
      <c r="B90" s="39" t="s">
        <v>110</v>
      </c>
      <c r="C90" s="39" t="s">
        <v>44</v>
      </c>
      <c r="D90" s="39" t="s">
        <v>149</v>
      </c>
      <c r="E90" s="44">
        <v>3011.58</v>
      </c>
      <c r="F90" s="39"/>
      <c r="G90" s="39">
        <v>463</v>
      </c>
    </row>
    <row r="91" spans="1:7">
      <c r="A91" s="40">
        <v>2016</v>
      </c>
      <c r="B91" s="40" t="s">
        <v>110</v>
      </c>
      <c r="C91" s="40" t="s">
        <v>44</v>
      </c>
      <c r="D91" s="40" t="s">
        <v>149</v>
      </c>
      <c r="E91" s="43">
        <v>2841.2280000000001</v>
      </c>
      <c r="F91" s="40"/>
      <c r="G91" s="40">
        <v>437</v>
      </c>
    </row>
    <row r="92" spans="1:7">
      <c r="A92" s="39">
        <v>2017</v>
      </c>
      <c r="B92" s="39" t="s">
        <v>110</v>
      </c>
      <c r="C92" s="39" t="s">
        <v>44</v>
      </c>
      <c r="D92" s="39" t="s">
        <v>149</v>
      </c>
      <c r="E92" s="44">
        <v>3243.279</v>
      </c>
      <c r="F92" s="39"/>
      <c r="G92" s="39">
        <v>498</v>
      </c>
    </row>
    <row r="93" spans="1:7">
      <c r="A93" s="40">
        <v>2014</v>
      </c>
      <c r="B93" s="40" t="s">
        <v>110</v>
      </c>
      <c r="C93" s="40" t="s">
        <v>44</v>
      </c>
      <c r="D93" s="40" t="s">
        <v>150</v>
      </c>
      <c r="E93" s="43">
        <v>44266</v>
      </c>
      <c r="F93" s="40"/>
      <c r="G93" s="40">
        <v>3877</v>
      </c>
    </row>
    <row r="94" spans="1:7">
      <c r="A94" s="39">
        <v>2015</v>
      </c>
      <c r="B94" s="39" t="s">
        <v>110</v>
      </c>
      <c r="C94" s="39" t="s">
        <v>44</v>
      </c>
      <c r="D94" s="39" t="s">
        <v>150</v>
      </c>
      <c r="E94" s="44">
        <v>46533</v>
      </c>
      <c r="F94" s="39"/>
      <c r="G94" s="39">
        <v>4044</v>
      </c>
    </row>
    <row r="95" spans="1:7">
      <c r="A95" s="40">
        <v>2016</v>
      </c>
      <c r="B95" s="40" t="s">
        <v>110</v>
      </c>
      <c r="C95" s="40" t="s">
        <v>44</v>
      </c>
      <c r="D95" s="40" t="s">
        <v>150</v>
      </c>
      <c r="E95" s="43">
        <v>48268</v>
      </c>
      <c r="F95" s="40"/>
      <c r="G95" s="40">
        <v>4296</v>
      </c>
    </row>
    <row r="96" spans="1:7">
      <c r="A96" s="39">
        <v>2017</v>
      </c>
      <c r="B96" s="39" t="s">
        <v>110</v>
      </c>
      <c r="C96" s="39" t="s">
        <v>44</v>
      </c>
      <c r="D96" s="39" t="s">
        <v>150</v>
      </c>
      <c r="E96" s="44">
        <v>57821</v>
      </c>
      <c r="F96" s="39"/>
      <c r="G96" s="39">
        <v>4974</v>
      </c>
    </row>
    <row r="97" spans="1:7">
      <c r="A97" s="40">
        <v>2014</v>
      </c>
      <c r="B97" s="40" t="s">
        <v>110</v>
      </c>
      <c r="C97" s="40" t="s">
        <v>43</v>
      </c>
      <c r="D97" s="40" t="s">
        <v>149</v>
      </c>
      <c r="E97" s="43">
        <v>3189.71</v>
      </c>
      <c r="F97" s="40"/>
      <c r="G97" s="40">
        <v>490</v>
      </c>
    </row>
    <row r="98" spans="1:7">
      <c r="A98" s="39">
        <v>2015</v>
      </c>
      <c r="B98" s="39" t="s">
        <v>110</v>
      </c>
      <c r="C98" s="39" t="s">
        <v>43</v>
      </c>
      <c r="D98" s="39" t="s">
        <v>149</v>
      </c>
      <c r="E98" s="44">
        <v>2928.42</v>
      </c>
      <c r="F98" s="39"/>
      <c r="G98" s="39">
        <v>450</v>
      </c>
    </row>
    <row r="99" spans="1:7">
      <c r="A99" s="40">
        <v>2016</v>
      </c>
      <c r="B99" s="40" t="s">
        <v>110</v>
      </c>
      <c r="C99" s="40" t="s">
        <v>43</v>
      </c>
      <c r="D99" s="40" t="s">
        <v>149</v>
      </c>
      <c r="E99" s="43">
        <v>2762.7719999999999</v>
      </c>
      <c r="F99" s="40"/>
      <c r="G99" s="40">
        <v>424</v>
      </c>
    </row>
    <row r="100" spans="1:7">
      <c r="A100" s="39">
        <v>2017</v>
      </c>
      <c r="B100" s="39" t="s">
        <v>110</v>
      </c>
      <c r="C100" s="39" t="s">
        <v>43</v>
      </c>
      <c r="D100" s="39" t="s">
        <v>149</v>
      </c>
      <c r="E100" s="44">
        <v>3153.721</v>
      </c>
      <c r="F100" s="39"/>
      <c r="G100" s="39">
        <v>485</v>
      </c>
    </row>
    <row r="101" spans="1:7">
      <c r="A101" s="40">
        <v>2014</v>
      </c>
      <c r="B101" s="40" t="s">
        <v>110</v>
      </c>
      <c r="C101" s="40" t="s">
        <v>43</v>
      </c>
      <c r="D101" s="40" t="s">
        <v>150</v>
      </c>
      <c r="E101" s="43">
        <v>69709</v>
      </c>
      <c r="F101" s="40"/>
      <c r="G101" s="40">
        <v>4591</v>
      </c>
    </row>
    <row r="102" spans="1:7">
      <c r="A102" s="39">
        <v>2015</v>
      </c>
      <c r="B102" s="39" t="s">
        <v>110</v>
      </c>
      <c r="C102" s="39" t="s">
        <v>43</v>
      </c>
      <c r="D102" s="39" t="s">
        <v>150</v>
      </c>
      <c r="E102" s="44">
        <v>73159</v>
      </c>
      <c r="F102" s="39"/>
      <c r="G102" s="39">
        <v>4783</v>
      </c>
    </row>
    <row r="103" spans="1:7">
      <c r="A103" s="40">
        <v>2016</v>
      </c>
      <c r="B103" s="40" t="s">
        <v>110</v>
      </c>
      <c r="C103" s="40" t="s">
        <v>43</v>
      </c>
      <c r="D103" s="40" t="s">
        <v>150</v>
      </c>
      <c r="E103" s="43">
        <v>75693</v>
      </c>
      <c r="F103" s="40"/>
      <c r="G103" s="40">
        <v>5132</v>
      </c>
    </row>
    <row r="104" spans="1:7">
      <c r="A104" s="39">
        <v>2017</v>
      </c>
      <c r="B104" s="39" t="s">
        <v>110</v>
      </c>
      <c r="C104" s="39" t="s">
        <v>43</v>
      </c>
      <c r="D104" s="39" t="s">
        <v>150</v>
      </c>
      <c r="E104" s="44">
        <v>86948</v>
      </c>
      <c r="F104" s="39"/>
      <c r="G104" s="39">
        <v>6170</v>
      </c>
    </row>
    <row r="105" spans="1:7">
      <c r="A105" s="40">
        <v>2014</v>
      </c>
      <c r="B105" s="40" t="s">
        <v>107</v>
      </c>
      <c r="C105" s="40" t="s">
        <v>44</v>
      </c>
      <c r="D105" s="40" t="s">
        <v>149</v>
      </c>
      <c r="E105" s="43">
        <v>499.39499999999998</v>
      </c>
      <c r="F105" s="40"/>
      <c r="G105" s="40">
        <v>76</v>
      </c>
    </row>
    <row r="106" spans="1:7">
      <c r="A106" s="39">
        <v>2015</v>
      </c>
      <c r="B106" s="39" t="s">
        <v>107</v>
      </c>
      <c r="C106" s="39" t="s">
        <v>44</v>
      </c>
      <c r="D106" s="39" t="s">
        <v>149</v>
      </c>
      <c r="E106" s="44">
        <v>612.96299999999997</v>
      </c>
      <c r="F106" s="39"/>
      <c r="G106" s="39">
        <v>94</v>
      </c>
    </row>
    <row r="107" spans="1:7">
      <c r="A107" s="40">
        <v>2016</v>
      </c>
      <c r="B107" s="40" t="s">
        <v>107</v>
      </c>
      <c r="C107" s="40" t="s">
        <v>44</v>
      </c>
      <c r="D107" s="40" t="s">
        <v>149</v>
      </c>
      <c r="E107" s="43">
        <v>501.423</v>
      </c>
      <c r="F107" s="40"/>
      <c r="G107" s="40">
        <v>77</v>
      </c>
    </row>
    <row r="108" spans="1:7">
      <c r="A108" s="39">
        <v>2017</v>
      </c>
      <c r="B108" s="39" t="s">
        <v>107</v>
      </c>
      <c r="C108" s="39" t="s">
        <v>44</v>
      </c>
      <c r="D108" s="39" t="s">
        <v>149</v>
      </c>
      <c r="E108" s="44">
        <v>457.31400000000002</v>
      </c>
      <c r="F108" s="39"/>
      <c r="G108" s="39">
        <v>70</v>
      </c>
    </row>
    <row r="109" spans="1:7">
      <c r="A109" s="40">
        <v>2014</v>
      </c>
      <c r="B109" s="40" t="s">
        <v>107</v>
      </c>
      <c r="C109" s="40" t="s">
        <v>44</v>
      </c>
      <c r="D109" s="40" t="s">
        <v>150</v>
      </c>
      <c r="E109" s="43">
        <v>5682</v>
      </c>
      <c r="F109" s="40"/>
      <c r="G109" s="40">
        <v>874</v>
      </c>
    </row>
    <row r="110" spans="1:7">
      <c r="A110" s="39">
        <v>2015</v>
      </c>
      <c r="B110" s="39" t="s">
        <v>107</v>
      </c>
      <c r="C110" s="39" t="s">
        <v>44</v>
      </c>
      <c r="D110" s="39" t="s">
        <v>150</v>
      </c>
      <c r="E110" s="44">
        <v>7157</v>
      </c>
      <c r="F110" s="39"/>
      <c r="G110" s="39">
        <v>1101</v>
      </c>
    </row>
    <row r="111" spans="1:7">
      <c r="A111" s="40">
        <v>2016</v>
      </c>
      <c r="B111" s="40" t="s">
        <v>107</v>
      </c>
      <c r="C111" s="40" t="s">
        <v>44</v>
      </c>
      <c r="D111" s="40" t="s">
        <v>150</v>
      </c>
      <c r="E111" s="43">
        <v>5332</v>
      </c>
      <c r="F111" s="40"/>
      <c r="G111" s="40">
        <v>820</v>
      </c>
    </row>
    <row r="112" spans="1:7">
      <c r="A112" s="39">
        <v>2017</v>
      </c>
      <c r="B112" s="39" t="s">
        <v>107</v>
      </c>
      <c r="C112" s="39" t="s">
        <v>44</v>
      </c>
      <c r="D112" s="39" t="s">
        <v>150</v>
      </c>
      <c r="E112" s="44">
        <v>4036</v>
      </c>
      <c r="F112" s="39"/>
      <c r="G112" s="39">
        <v>620</v>
      </c>
    </row>
    <row r="113" spans="1:7">
      <c r="A113" s="40">
        <v>2014</v>
      </c>
      <c r="B113" s="40" t="s">
        <v>107</v>
      </c>
      <c r="C113" s="40" t="s">
        <v>43</v>
      </c>
      <c r="D113" s="40" t="s">
        <v>149</v>
      </c>
      <c r="E113" s="43">
        <v>485.60500000000002</v>
      </c>
      <c r="F113" s="40"/>
      <c r="G113" s="40">
        <v>74</v>
      </c>
    </row>
    <row r="114" spans="1:7">
      <c r="A114" s="39">
        <v>2015</v>
      </c>
      <c r="B114" s="39" t="s">
        <v>107</v>
      </c>
      <c r="C114" s="39" t="s">
        <v>43</v>
      </c>
      <c r="D114" s="39" t="s">
        <v>149</v>
      </c>
      <c r="E114" s="44">
        <v>596.03700000000003</v>
      </c>
      <c r="F114" s="39"/>
      <c r="G114" s="39">
        <v>91</v>
      </c>
    </row>
    <row r="115" spans="1:7">
      <c r="A115" s="40">
        <v>2016</v>
      </c>
      <c r="B115" s="40" t="s">
        <v>107</v>
      </c>
      <c r="C115" s="40" t="s">
        <v>43</v>
      </c>
      <c r="D115" s="40" t="s">
        <v>149</v>
      </c>
      <c r="E115" s="43">
        <v>487.577</v>
      </c>
      <c r="F115" s="40"/>
      <c r="G115" s="40">
        <v>74</v>
      </c>
    </row>
    <row r="116" spans="1:7">
      <c r="A116" s="39">
        <v>2017</v>
      </c>
      <c r="B116" s="39" t="s">
        <v>107</v>
      </c>
      <c r="C116" s="39" t="s">
        <v>43</v>
      </c>
      <c r="D116" s="39" t="s">
        <v>149</v>
      </c>
      <c r="E116" s="44">
        <v>444.68599999999998</v>
      </c>
      <c r="F116" s="39"/>
      <c r="G116" s="39">
        <v>68</v>
      </c>
    </row>
    <row r="117" spans="1:7">
      <c r="A117" s="40">
        <v>2014</v>
      </c>
      <c r="B117" s="40" t="s">
        <v>107</v>
      </c>
      <c r="C117" s="40" t="s">
        <v>43</v>
      </c>
      <c r="D117" s="40" t="s">
        <v>150</v>
      </c>
      <c r="E117" s="43">
        <v>9323</v>
      </c>
      <c r="F117" s="40"/>
      <c r="G117" s="40">
        <v>1434</v>
      </c>
    </row>
    <row r="118" spans="1:7">
      <c r="A118" s="39">
        <v>2015</v>
      </c>
      <c r="B118" s="39" t="s">
        <v>107</v>
      </c>
      <c r="C118" s="39" t="s">
        <v>43</v>
      </c>
      <c r="D118" s="39" t="s">
        <v>150</v>
      </c>
      <c r="E118" s="44">
        <v>11891</v>
      </c>
      <c r="F118" s="39"/>
      <c r="G118" s="39">
        <v>1829</v>
      </c>
    </row>
    <row r="119" spans="1:7">
      <c r="A119" s="40">
        <v>2016</v>
      </c>
      <c r="B119" s="40" t="s">
        <v>107</v>
      </c>
      <c r="C119" s="40" t="s">
        <v>43</v>
      </c>
      <c r="D119" s="40" t="s">
        <v>150</v>
      </c>
      <c r="E119" s="43">
        <v>9242</v>
      </c>
      <c r="F119" s="40"/>
      <c r="G119" s="40">
        <v>1421</v>
      </c>
    </row>
    <row r="120" spans="1:7">
      <c r="A120" s="39">
        <v>2017</v>
      </c>
      <c r="B120" s="39" t="s">
        <v>107</v>
      </c>
      <c r="C120" s="39" t="s">
        <v>43</v>
      </c>
      <c r="D120" s="39" t="s">
        <v>150</v>
      </c>
      <c r="E120" s="44">
        <v>11422</v>
      </c>
      <c r="F120" s="39"/>
      <c r="G120" s="39">
        <v>1756</v>
      </c>
    </row>
    <row r="121" spans="1:7">
      <c r="A121" s="40">
        <v>2014</v>
      </c>
      <c r="B121" s="40" t="s">
        <v>105</v>
      </c>
      <c r="C121" s="40" t="s">
        <v>44</v>
      </c>
      <c r="D121" s="40" t="s">
        <v>149</v>
      </c>
      <c r="E121" s="43">
        <v>791.93399999999997</v>
      </c>
      <c r="F121" s="43"/>
      <c r="G121" s="43">
        <v>121</v>
      </c>
    </row>
    <row r="122" spans="1:7">
      <c r="A122" s="39">
        <v>2015</v>
      </c>
      <c r="B122" s="39" t="s">
        <v>105</v>
      </c>
      <c r="C122" s="39" t="s">
        <v>44</v>
      </c>
      <c r="D122" s="39" t="s">
        <v>149</v>
      </c>
      <c r="E122" s="44">
        <v>906.00900000000001</v>
      </c>
      <c r="F122" s="44"/>
      <c r="G122" s="44">
        <v>139</v>
      </c>
    </row>
    <row r="123" spans="1:7">
      <c r="A123" s="40">
        <v>2016</v>
      </c>
      <c r="B123" s="40" t="s">
        <v>105</v>
      </c>
      <c r="C123" s="40" t="s">
        <v>44</v>
      </c>
      <c r="D123" s="40" t="s">
        <v>149</v>
      </c>
      <c r="E123" s="43">
        <v>1073.319</v>
      </c>
      <c r="F123" s="43"/>
      <c r="G123" s="43">
        <v>165</v>
      </c>
    </row>
    <row r="124" spans="1:7">
      <c r="A124" s="39">
        <v>2017</v>
      </c>
      <c r="B124" s="39" t="s">
        <v>105</v>
      </c>
      <c r="C124" s="39" t="s">
        <v>44</v>
      </c>
      <c r="D124" s="39" t="s">
        <v>149</v>
      </c>
      <c r="E124" s="44">
        <v>971.41200000000003</v>
      </c>
      <c r="F124" s="44"/>
      <c r="G124" s="44">
        <v>149</v>
      </c>
    </row>
    <row r="125" spans="1:7">
      <c r="A125" s="40">
        <v>2014</v>
      </c>
      <c r="B125" s="40" t="s">
        <v>105</v>
      </c>
      <c r="C125" s="40" t="s">
        <v>44</v>
      </c>
      <c r="D125" s="40" t="s">
        <v>150</v>
      </c>
      <c r="E125" s="43">
        <v>8928</v>
      </c>
      <c r="F125" s="43"/>
      <c r="G125" s="43">
        <v>1373</v>
      </c>
    </row>
    <row r="126" spans="1:7">
      <c r="A126" s="39">
        <v>2015</v>
      </c>
      <c r="B126" s="39" t="s">
        <v>105</v>
      </c>
      <c r="C126" s="39" t="s">
        <v>44</v>
      </c>
      <c r="D126" s="39" t="s">
        <v>150</v>
      </c>
      <c r="E126" s="44">
        <v>10545</v>
      </c>
      <c r="F126" s="44"/>
      <c r="G126" s="44">
        <v>1622</v>
      </c>
    </row>
    <row r="127" spans="1:7">
      <c r="A127" s="40">
        <v>2016</v>
      </c>
      <c r="B127" s="40" t="s">
        <v>105</v>
      </c>
      <c r="C127" s="40" t="s">
        <v>44</v>
      </c>
      <c r="D127" s="40" t="s">
        <v>150</v>
      </c>
      <c r="E127" s="43">
        <v>12583</v>
      </c>
      <c r="F127" s="43"/>
      <c r="G127" s="43">
        <v>1935</v>
      </c>
    </row>
    <row r="128" spans="1:7">
      <c r="A128" s="39">
        <v>2017</v>
      </c>
      <c r="B128" s="39" t="s">
        <v>105</v>
      </c>
      <c r="C128" s="39" t="s">
        <v>44</v>
      </c>
      <c r="D128" s="39" t="s">
        <v>150</v>
      </c>
      <c r="E128" s="44">
        <v>12531</v>
      </c>
      <c r="F128" s="44"/>
      <c r="G128" s="44">
        <v>1927</v>
      </c>
    </row>
    <row r="129" spans="1:7">
      <c r="A129" s="40">
        <v>2014</v>
      </c>
      <c r="B129" s="40" t="s">
        <v>105</v>
      </c>
      <c r="C129" s="40" t="s">
        <v>43</v>
      </c>
      <c r="D129" s="40" t="s">
        <v>149</v>
      </c>
      <c r="E129" s="43">
        <v>770.06600000000003</v>
      </c>
      <c r="F129" s="43"/>
      <c r="G129" s="43">
        <v>118</v>
      </c>
    </row>
    <row r="130" spans="1:7">
      <c r="A130" s="39">
        <v>2015</v>
      </c>
      <c r="B130" s="39" t="s">
        <v>105</v>
      </c>
      <c r="C130" s="39" t="s">
        <v>43</v>
      </c>
      <c r="D130" s="39" t="s">
        <v>149</v>
      </c>
      <c r="E130" s="44">
        <v>880.99099999999999</v>
      </c>
      <c r="F130" s="44"/>
      <c r="G130" s="44">
        <v>135</v>
      </c>
    </row>
    <row r="131" spans="1:7">
      <c r="A131" s="40">
        <v>2016</v>
      </c>
      <c r="B131" s="40" t="s">
        <v>105</v>
      </c>
      <c r="C131" s="40" t="s">
        <v>43</v>
      </c>
      <c r="D131" s="40" t="s">
        <v>149</v>
      </c>
      <c r="E131" s="43">
        <v>1043.681</v>
      </c>
      <c r="F131" s="43"/>
      <c r="G131" s="43">
        <v>160</v>
      </c>
    </row>
    <row r="132" spans="1:7">
      <c r="A132" s="39">
        <v>2017</v>
      </c>
      <c r="B132" s="39" t="s">
        <v>105</v>
      </c>
      <c r="C132" s="39" t="s">
        <v>43</v>
      </c>
      <c r="D132" s="39" t="s">
        <v>149</v>
      </c>
      <c r="E132" s="44">
        <v>944.58799999999997</v>
      </c>
      <c r="F132" s="44"/>
      <c r="G132" s="44">
        <v>145</v>
      </c>
    </row>
    <row r="133" spans="1:7">
      <c r="A133" s="40">
        <v>2014</v>
      </c>
      <c r="B133" s="40" t="s">
        <v>105</v>
      </c>
      <c r="C133" s="40" t="s">
        <v>43</v>
      </c>
      <c r="D133" s="40" t="s">
        <v>150</v>
      </c>
      <c r="E133" s="43">
        <v>14340</v>
      </c>
      <c r="F133" s="43"/>
      <c r="G133" s="43">
        <v>2205</v>
      </c>
    </row>
    <row r="134" spans="1:7">
      <c r="A134" s="39">
        <v>2015</v>
      </c>
      <c r="B134" s="39" t="s">
        <v>105</v>
      </c>
      <c r="C134" s="39" t="s">
        <v>43</v>
      </c>
      <c r="D134" s="39" t="s">
        <v>150</v>
      </c>
      <c r="E134" s="44">
        <v>17523</v>
      </c>
      <c r="F134" s="44"/>
      <c r="G134" s="44">
        <v>2695</v>
      </c>
    </row>
    <row r="135" spans="1:7">
      <c r="A135" s="40">
        <v>2016</v>
      </c>
      <c r="B135" s="40" t="s">
        <v>105</v>
      </c>
      <c r="C135" s="40" t="s">
        <v>43</v>
      </c>
      <c r="D135" s="40" t="s">
        <v>150</v>
      </c>
      <c r="E135" s="43">
        <v>20880</v>
      </c>
      <c r="F135" s="43"/>
      <c r="G135" s="43">
        <v>3211</v>
      </c>
    </row>
    <row r="136" spans="1:7">
      <c r="A136" s="39">
        <v>2017</v>
      </c>
      <c r="B136" s="39" t="s">
        <v>105</v>
      </c>
      <c r="C136" s="39" t="s">
        <v>43</v>
      </c>
      <c r="D136" s="39" t="s">
        <v>150</v>
      </c>
      <c r="E136" s="44">
        <v>21620</v>
      </c>
      <c r="F136" s="44"/>
      <c r="G136" s="44">
        <v>3325</v>
      </c>
    </row>
    <row r="137" spans="1:7">
      <c r="A137" s="40">
        <v>2014</v>
      </c>
      <c r="B137" s="40" t="s">
        <v>109</v>
      </c>
      <c r="C137" s="40" t="s">
        <v>44</v>
      </c>
      <c r="D137" s="40" t="s">
        <v>149</v>
      </c>
      <c r="E137" s="43">
        <v>801.56700000000001</v>
      </c>
      <c r="F137" s="43"/>
      <c r="G137" s="43">
        <v>123</v>
      </c>
    </row>
    <row r="138" spans="1:7">
      <c r="A138" s="39">
        <v>2015</v>
      </c>
      <c r="B138" s="39" t="s">
        <v>109</v>
      </c>
      <c r="C138" s="39" t="s">
        <v>44</v>
      </c>
      <c r="D138" s="39" t="s">
        <v>149</v>
      </c>
      <c r="E138" s="44">
        <v>898.404</v>
      </c>
      <c r="F138" s="44"/>
      <c r="G138" s="44">
        <v>138</v>
      </c>
    </row>
    <row r="139" spans="1:7">
      <c r="A139" s="40">
        <v>2016</v>
      </c>
      <c r="B139" s="40" t="s">
        <v>109</v>
      </c>
      <c r="C139" s="40" t="s">
        <v>44</v>
      </c>
      <c r="D139" s="40" t="s">
        <v>149</v>
      </c>
      <c r="E139" s="43">
        <v>1300.4549999999999</v>
      </c>
      <c r="F139" s="43"/>
      <c r="G139" s="43">
        <v>200</v>
      </c>
    </row>
    <row r="140" spans="1:7">
      <c r="A140" s="39">
        <v>2017</v>
      </c>
      <c r="B140" s="39" t="s">
        <v>109</v>
      </c>
      <c r="C140" s="39" t="s">
        <v>44</v>
      </c>
      <c r="D140" s="39" t="s">
        <v>149</v>
      </c>
      <c r="E140" s="44">
        <v>747.31799999999998</v>
      </c>
      <c r="F140" s="44"/>
      <c r="G140" s="44">
        <v>114</v>
      </c>
    </row>
    <row r="141" spans="1:7">
      <c r="A141" s="40">
        <v>2014</v>
      </c>
      <c r="B141" s="40" t="s">
        <v>109</v>
      </c>
      <c r="C141" s="40" t="s">
        <v>44</v>
      </c>
      <c r="D141" s="40" t="s">
        <v>150</v>
      </c>
      <c r="E141" s="43">
        <v>9035</v>
      </c>
      <c r="F141" s="43"/>
      <c r="G141" s="43">
        <v>1389</v>
      </c>
    </row>
    <row r="142" spans="1:7">
      <c r="A142" s="39">
        <v>2015</v>
      </c>
      <c r="B142" s="39" t="s">
        <v>109</v>
      </c>
      <c r="C142" s="39" t="s">
        <v>44</v>
      </c>
      <c r="D142" s="39" t="s">
        <v>150</v>
      </c>
      <c r="E142" s="44">
        <v>11809</v>
      </c>
      <c r="F142" s="44"/>
      <c r="G142" s="44">
        <v>1816</v>
      </c>
    </row>
    <row r="143" spans="1:7">
      <c r="A143" s="40">
        <v>2016</v>
      </c>
      <c r="B143" s="40" t="s">
        <v>109</v>
      </c>
      <c r="C143" s="40" t="s">
        <v>44</v>
      </c>
      <c r="D143" s="40" t="s">
        <v>150</v>
      </c>
      <c r="E143" s="43">
        <v>12399</v>
      </c>
      <c r="F143" s="43"/>
      <c r="G143" s="43">
        <v>1907</v>
      </c>
    </row>
    <row r="144" spans="1:7">
      <c r="A144" s="39">
        <v>2017</v>
      </c>
      <c r="B144" s="39" t="s">
        <v>109</v>
      </c>
      <c r="C144" s="39" t="s">
        <v>44</v>
      </c>
      <c r="D144" s="39" t="s">
        <v>150</v>
      </c>
      <c r="E144" s="44">
        <v>11105</v>
      </c>
      <c r="F144" s="44"/>
      <c r="G144" s="44">
        <v>1708</v>
      </c>
    </row>
    <row r="145" spans="1:7">
      <c r="A145" s="40">
        <v>2014</v>
      </c>
      <c r="B145" s="40" t="s">
        <v>109</v>
      </c>
      <c r="C145" s="40" t="s">
        <v>43</v>
      </c>
      <c r="D145" s="40" t="s">
        <v>149</v>
      </c>
      <c r="E145" s="43">
        <v>779.43299999999999</v>
      </c>
      <c r="F145" s="43"/>
      <c r="G145" s="43">
        <v>120</v>
      </c>
    </row>
    <row r="146" spans="1:7">
      <c r="A146" s="39">
        <v>2015</v>
      </c>
      <c r="B146" s="39" t="s">
        <v>109</v>
      </c>
      <c r="C146" s="39" t="s">
        <v>43</v>
      </c>
      <c r="D146" s="39" t="s">
        <v>149</v>
      </c>
      <c r="E146" s="44">
        <v>873.596</v>
      </c>
      <c r="F146" s="44"/>
      <c r="G146" s="44">
        <v>134</v>
      </c>
    </row>
    <row r="147" spans="1:7">
      <c r="A147" s="40">
        <v>2016</v>
      </c>
      <c r="B147" s="40" t="s">
        <v>109</v>
      </c>
      <c r="C147" s="40" t="s">
        <v>43</v>
      </c>
      <c r="D147" s="40" t="s">
        <v>149</v>
      </c>
      <c r="E147" s="43">
        <v>1264.5450000000001</v>
      </c>
      <c r="F147" s="43"/>
      <c r="G147" s="43">
        <v>194</v>
      </c>
    </row>
    <row r="148" spans="1:7">
      <c r="A148" s="39">
        <v>2017</v>
      </c>
      <c r="B148" s="39" t="s">
        <v>109</v>
      </c>
      <c r="C148" s="39" t="s">
        <v>43</v>
      </c>
      <c r="D148" s="39" t="s">
        <v>149</v>
      </c>
      <c r="E148" s="44">
        <v>726.68200000000002</v>
      </c>
      <c r="F148" s="44"/>
      <c r="G148" s="44">
        <v>111</v>
      </c>
    </row>
    <row r="149" spans="1:7">
      <c r="A149" s="40">
        <v>2014</v>
      </c>
      <c r="B149" s="40" t="s">
        <v>109</v>
      </c>
      <c r="C149" s="40" t="s">
        <v>43</v>
      </c>
      <c r="D149" s="40" t="s">
        <v>150</v>
      </c>
      <c r="E149" s="43">
        <v>13688</v>
      </c>
      <c r="F149" s="43"/>
      <c r="G149" s="43">
        <v>2105</v>
      </c>
    </row>
    <row r="150" spans="1:7">
      <c r="A150" s="39">
        <v>2015</v>
      </c>
      <c r="B150" s="39" t="s">
        <v>109</v>
      </c>
      <c r="C150" s="39" t="s">
        <v>43</v>
      </c>
      <c r="D150" s="39" t="s">
        <v>150</v>
      </c>
      <c r="E150" s="44">
        <v>16271</v>
      </c>
      <c r="F150" s="44"/>
      <c r="G150" s="44">
        <v>2502</v>
      </c>
    </row>
    <row r="151" spans="1:7">
      <c r="A151" s="40">
        <v>2016</v>
      </c>
      <c r="B151" s="40" t="s">
        <v>109</v>
      </c>
      <c r="C151" s="40" t="s">
        <v>43</v>
      </c>
      <c r="D151" s="40" t="s">
        <v>150</v>
      </c>
      <c r="E151" s="43">
        <v>17142</v>
      </c>
      <c r="F151" s="43"/>
      <c r="G151" s="43">
        <v>2636</v>
      </c>
    </row>
    <row r="152" spans="1:7">
      <c r="A152" s="39">
        <v>2017</v>
      </c>
      <c r="B152" s="39" t="s">
        <v>109</v>
      </c>
      <c r="C152" s="39" t="s">
        <v>43</v>
      </c>
      <c r="D152" s="39" t="s">
        <v>150</v>
      </c>
      <c r="E152" s="44">
        <v>17568</v>
      </c>
      <c r="F152" s="44"/>
      <c r="G152" s="44">
        <v>2702</v>
      </c>
    </row>
    <row r="153" spans="1:7">
      <c r="A153" s="40">
        <v>2014</v>
      </c>
      <c r="B153" s="40" t="s">
        <v>104</v>
      </c>
      <c r="C153" s="40" t="s">
        <v>44</v>
      </c>
      <c r="D153" s="40" t="s">
        <v>149</v>
      </c>
      <c r="E153" s="43">
        <v>2326.116</v>
      </c>
      <c r="F153" s="43"/>
      <c r="G153" s="43">
        <v>357</v>
      </c>
    </row>
    <row r="154" spans="1:7">
      <c r="A154" s="39">
        <v>2015</v>
      </c>
      <c r="B154" s="39" t="s">
        <v>104</v>
      </c>
      <c r="C154" s="39" t="s">
        <v>44</v>
      </c>
      <c r="D154" s="39" t="s">
        <v>149</v>
      </c>
      <c r="E154" s="44">
        <v>2543.1120000000001</v>
      </c>
      <c r="F154" s="44"/>
      <c r="G154" s="44">
        <v>391</v>
      </c>
    </row>
    <row r="155" spans="1:7">
      <c r="A155" s="40">
        <v>2016</v>
      </c>
      <c r="B155" s="40" t="s">
        <v>104</v>
      </c>
      <c r="C155" s="40" t="s">
        <v>44</v>
      </c>
      <c r="D155" s="40" t="s">
        <v>149</v>
      </c>
      <c r="E155" s="43">
        <v>2611.5570000000002</v>
      </c>
      <c r="F155" s="43"/>
      <c r="G155" s="43">
        <v>401</v>
      </c>
    </row>
    <row r="156" spans="1:7">
      <c r="A156" s="39">
        <v>2017</v>
      </c>
      <c r="B156" s="39" t="s">
        <v>104</v>
      </c>
      <c r="C156" s="39" t="s">
        <v>44</v>
      </c>
      <c r="D156" s="39" t="s">
        <v>149</v>
      </c>
      <c r="E156" s="44">
        <v>1976.2860000000001</v>
      </c>
      <c r="F156" s="44"/>
      <c r="G156" s="44">
        <v>303</v>
      </c>
    </row>
    <row r="157" spans="1:7">
      <c r="A157" s="40">
        <v>2014</v>
      </c>
      <c r="B157" s="40" t="s">
        <v>104</v>
      </c>
      <c r="C157" s="40" t="s">
        <v>44</v>
      </c>
      <c r="D157" s="40" t="s">
        <v>150</v>
      </c>
      <c r="E157" s="43">
        <v>23187</v>
      </c>
      <c r="F157" s="43"/>
      <c r="G157" s="43">
        <v>3566</v>
      </c>
    </row>
    <row r="158" spans="1:7">
      <c r="A158" s="39">
        <v>2015</v>
      </c>
      <c r="B158" s="39" t="s">
        <v>104</v>
      </c>
      <c r="C158" s="39" t="s">
        <v>44</v>
      </c>
      <c r="D158" s="39" t="s">
        <v>150</v>
      </c>
      <c r="E158" s="44">
        <v>24839</v>
      </c>
      <c r="F158" s="44"/>
      <c r="G158" s="44">
        <v>3820</v>
      </c>
    </row>
    <row r="159" spans="1:7">
      <c r="A159" s="40">
        <v>2016</v>
      </c>
      <c r="B159" s="40" t="s">
        <v>104</v>
      </c>
      <c r="C159" s="40" t="s">
        <v>44</v>
      </c>
      <c r="D159" s="40" t="s">
        <v>150</v>
      </c>
      <c r="E159" s="43">
        <v>25101</v>
      </c>
      <c r="F159" s="43"/>
      <c r="G159" s="43">
        <v>3860</v>
      </c>
    </row>
    <row r="160" spans="1:7">
      <c r="A160" s="39">
        <v>2017</v>
      </c>
      <c r="B160" s="39" t="s">
        <v>104</v>
      </c>
      <c r="C160" s="39" t="s">
        <v>44</v>
      </c>
      <c r="D160" s="39" t="s">
        <v>150</v>
      </c>
      <c r="E160" s="44">
        <v>25594</v>
      </c>
      <c r="F160" s="44"/>
      <c r="G160" s="44">
        <v>3936</v>
      </c>
    </row>
    <row r="161" spans="1:7">
      <c r="A161" s="40">
        <v>2014</v>
      </c>
      <c r="B161" s="40" t="s">
        <v>104</v>
      </c>
      <c r="C161" s="40" t="s">
        <v>43</v>
      </c>
      <c r="D161" s="40" t="s">
        <v>149</v>
      </c>
      <c r="E161" s="43">
        <v>2261.884</v>
      </c>
      <c r="F161" s="43"/>
      <c r="G161" s="43">
        <v>348</v>
      </c>
    </row>
    <row r="162" spans="1:7">
      <c r="A162" s="39">
        <v>2015</v>
      </c>
      <c r="B162" s="39" t="s">
        <v>104</v>
      </c>
      <c r="C162" s="39" t="s">
        <v>43</v>
      </c>
      <c r="D162" s="39" t="s">
        <v>149</v>
      </c>
      <c r="E162" s="44">
        <v>2472.8879999999999</v>
      </c>
      <c r="F162" s="44"/>
      <c r="G162" s="44">
        <v>380</v>
      </c>
    </row>
    <row r="163" spans="1:7">
      <c r="A163" s="40">
        <v>2016</v>
      </c>
      <c r="B163" s="40" t="s">
        <v>104</v>
      </c>
      <c r="C163" s="40" t="s">
        <v>43</v>
      </c>
      <c r="D163" s="40" t="s">
        <v>149</v>
      </c>
      <c r="E163" s="43">
        <v>2539.4429999999998</v>
      </c>
      <c r="F163" s="43"/>
      <c r="G163" s="43">
        <v>390</v>
      </c>
    </row>
    <row r="164" spans="1:7">
      <c r="A164" s="39">
        <v>2017</v>
      </c>
      <c r="B164" s="39" t="s">
        <v>104</v>
      </c>
      <c r="C164" s="39" t="s">
        <v>43</v>
      </c>
      <c r="D164" s="39" t="s">
        <v>149</v>
      </c>
      <c r="E164" s="44">
        <v>1921.7139999999999</v>
      </c>
      <c r="F164" s="44"/>
      <c r="G164" s="44">
        <v>295</v>
      </c>
    </row>
    <row r="165" spans="1:7">
      <c r="A165" s="40">
        <v>2014</v>
      </c>
      <c r="B165" s="40" t="s">
        <v>104</v>
      </c>
      <c r="C165" s="40" t="s">
        <v>43</v>
      </c>
      <c r="D165" s="40" t="s">
        <v>150</v>
      </c>
      <c r="E165" s="43">
        <v>35855</v>
      </c>
      <c r="F165" s="43"/>
      <c r="G165" s="43">
        <v>5514</v>
      </c>
    </row>
    <row r="166" spans="1:7">
      <c r="A166" s="39">
        <v>2015</v>
      </c>
      <c r="B166" s="39" t="s">
        <v>104</v>
      </c>
      <c r="C166" s="39" t="s">
        <v>43</v>
      </c>
      <c r="D166" s="39" t="s">
        <v>150</v>
      </c>
      <c r="E166" s="44">
        <v>40498</v>
      </c>
      <c r="F166" s="44"/>
      <c r="G166" s="44">
        <v>6229</v>
      </c>
    </row>
    <row r="167" spans="1:7">
      <c r="A167" s="40">
        <v>2016</v>
      </c>
      <c r="B167" s="40" t="s">
        <v>104</v>
      </c>
      <c r="C167" s="40" t="s">
        <v>43</v>
      </c>
      <c r="D167" s="40" t="s">
        <v>150</v>
      </c>
      <c r="E167" s="43">
        <v>40807</v>
      </c>
      <c r="F167" s="43"/>
      <c r="G167" s="43">
        <v>6276</v>
      </c>
    </row>
    <row r="168" spans="1:7">
      <c r="A168" s="39">
        <v>2017</v>
      </c>
      <c r="B168" s="39" t="s">
        <v>104</v>
      </c>
      <c r="C168" s="39" t="s">
        <v>43</v>
      </c>
      <c r="D168" s="39" t="s">
        <v>150</v>
      </c>
      <c r="E168" s="44">
        <v>46420</v>
      </c>
      <c r="F168" s="44"/>
      <c r="G168" s="44">
        <v>7139</v>
      </c>
    </row>
    <row r="187" spans="1:7">
      <c r="A187" s="40"/>
      <c r="B187" s="40"/>
      <c r="C187" s="40"/>
      <c r="D187" s="40"/>
      <c r="E187" s="40"/>
      <c r="F187" s="40"/>
      <c r="G187" s="40"/>
    </row>
    <row r="188" spans="1:7">
      <c r="A188" s="39"/>
      <c r="B188" s="39"/>
      <c r="C188" s="39"/>
      <c r="D188" s="39"/>
      <c r="E188" s="39"/>
      <c r="F188" s="39"/>
      <c r="G188" s="39"/>
    </row>
    <row r="189" spans="1:7">
      <c r="A189" s="40"/>
      <c r="B189" s="40"/>
      <c r="C189" s="40"/>
      <c r="D189" s="40"/>
      <c r="E189" s="40"/>
      <c r="F189" s="40"/>
      <c r="G189" s="40"/>
    </row>
    <row r="190" spans="1:7">
      <c r="A190" s="39"/>
      <c r="B190" s="39"/>
      <c r="C190" s="39"/>
      <c r="D190" s="39"/>
      <c r="E190" s="39"/>
      <c r="F190" s="39"/>
      <c r="G190" s="39"/>
    </row>
    <row r="191" spans="1:7">
      <c r="A191" s="40"/>
      <c r="B191" s="40"/>
      <c r="C191" s="40"/>
      <c r="D191" s="40"/>
      <c r="E191" s="40"/>
      <c r="F191" s="40"/>
      <c r="G191" s="40"/>
    </row>
    <row r="192" spans="1:7">
      <c r="A192" s="39"/>
      <c r="B192" s="39"/>
      <c r="C192" s="39"/>
      <c r="D192" s="39"/>
      <c r="E192" s="39"/>
      <c r="F192" s="39"/>
      <c r="G192" s="39"/>
    </row>
    <row r="193" spans="1:7">
      <c r="A193" s="40"/>
      <c r="B193" s="40"/>
      <c r="C193" s="40"/>
      <c r="D193" s="40"/>
      <c r="E193" s="40"/>
      <c r="F193" s="40"/>
      <c r="G193" s="40"/>
    </row>
    <row r="194" spans="1:7">
      <c r="A194" s="39"/>
      <c r="B194" s="39"/>
      <c r="C194" s="39"/>
      <c r="D194" s="39"/>
      <c r="E194" s="39"/>
      <c r="F194" s="39"/>
      <c r="G194" s="39"/>
    </row>
    <row r="195" spans="1:7">
      <c r="A195" s="40"/>
      <c r="B195" s="40"/>
      <c r="C195" s="40"/>
      <c r="D195" s="40"/>
      <c r="E195" s="40"/>
      <c r="F195" s="40"/>
      <c r="G195" s="40"/>
    </row>
    <row r="196" spans="1:7">
      <c r="A196" s="39"/>
      <c r="B196" s="39"/>
      <c r="C196" s="39"/>
      <c r="D196" s="39"/>
      <c r="E196" s="39"/>
      <c r="F196" s="39"/>
      <c r="G196" s="39"/>
    </row>
    <row r="197" spans="1:7">
      <c r="A197" s="40"/>
      <c r="B197" s="40"/>
      <c r="C197" s="40"/>
      <c r="D197" s="40"/>
      <c r="E197" s="40"/>
      <c r="F197" s="40"/>
      <c r="G197" s="40"/>
    </row>
    <row r="198" spans="1:7">
      <c r="A198" s="39"/>
      <c r="B198" s="39"/>
      <c r="C198" s="39"/>
      <c r="D198" s="39"/>
      <c r="E198" s="39"/>
      <c r="F198" s="39"/>
      <c r="G198" s="39"/>
    </row>
    <row r="199" spans="1:7">
      <c r="A199" s="40"/>
      <c r="B199" s="40"/>
      <c r="C199" s="40"/>
      <c r="D199" s="40"/>
      <c r="E199" s="40"/>
      <c r="F199" s="40"/>
      <c r="G199" s="40"/>
    </row>
    <row r="200" spans="1:7">
      <c r="A200" s="39"/>
      <c r="B200" s="39"/>
      <c r="C200" s="39"/>
      <c r="D200" s="39"/>
      <c r="E200" s="39"/>
      <c r="F200" s="39"/>
      <c r="G200" s="39"/>
    </row>
    <row r="201" spans="1:7">
      <c r="A201" s="40"/>
      <c r="B201" s="40"/>
      <c r="C201" s="40"/>
      <c r="D201" s="40"/>
      <c r="E201" s="40"/>
      <c r="F201" s="40"/>
      <c r="G201" s="40"/>
    </row>
    <row r="202" spans="1:7">
      <c r="A202" s="39"/>
      <c r="B202" s="39"/>
      <c r="C202" s="39"/>
      <c r="D202" s="39"/>
      <c r="E202" s="39"/>
      <c r="F202" s="39"/>
      <c r="G202" s="39"/>
    </row>
    <row r="203" spans="1:7">
      <c r="A203" s="40"/>
      <c r="B203" s="40"/>
      <c r="C203" s="40"/>
      <c r="D203" s="40"/>
      <c r="E203" s="40"/>
      <c r="F203" s="40"/>
      <c r="G203" s="40"/>
    </row>
    <row r="204" spans="1:7">
      <c r="A204" s="39"/>
      <c r="B204" s="39"/>
      <c r="C204" s="39"/>
      <c r="D204" s="39"/>
      <c r="E204" s="39"/>
      <c r="F204" s="39"/>
      <c r="G204" s="39"/>
    </row>
    <row r="205" spans="1:7">
      <c r="A205" s="40"/>
      <c r="B205" s="40"/>
      <c r="C205" s="40"/>
      <c r="D205" s="40"/>
      <c r="E205" s="40"/>
      <c r="F205" s="40"/>
      <c r="G205" s="40"/>
    </row>
    <row r="206" spans="1:7">
      <c r="A206" s="39"/>
      <c r="B206" s="39"/>
      <c r="C206" s="39"/>
      <c r="D206" s="39"/>
      <c r="E206" s="39"/>
      <c r="F206" s="39"/>
      <c r="G206" s="39"/>
    </row>
    <row r="207" spans="1:7">
      <c r="A207" s="40"/>
      <c r="B207" s="40"/>
      <c r="C207" s="40"/>
      <c r="D207" s="40"/>
      <c r="E207" s="40"/>
      <c r="F207" s="40"/>
      <c r="G207" s="40"/>
    </row>
    <row r="208" spans="1:7">
      <c r="A208" s="39"/>
      <c r="B208" s="39"/>
      <c r="C208" s="39"/>
      <c r="D208" s="39"/>
      <c r="E208" s="39"/>
      <c r="F208" s="39"/>
      <c r="G208" s="39"/>
    </row>
    <row r="209" spans="1:7">
      <c r="A209" s="40"/>
      <c r="B209" s="40"/>
      <c r="C209" s="40"/>
      <c r="D209" s="40"/>
      <c r="E209" s="40"/>
      <c r="F209" s="40"/>
      <c r="G209" s="40"/>
    </row>
    <row r="210" spans="1:7">
      <c r="A210" s="39"/>
      <c r="B210" s="39"/>
      <c r="C210" s="39"/>
      <c r="D210" s="39"/>
      <c r="E210" s="39"/>
      <c r="F210" s="39"/>
      <c r="G210" s="39"/>
    </row>
    <row r="211" spans="1:7">
      <c r="A211" s="40"/>
      <c r="B211" s="40"/>
      <c r="C211" s="40"/>
      <c r="D211" s="40"/>
      <c r="E211" s="40"/>
      <c r="F211" s="40"/>
      <c r="G211" s="40"/>
    </row>
    <row r="212" spans="1:7">
      <c r="A212" s="39"/>
      <c r="B212" s="39"/>
      <c r="C212" s="39"/>
      <c r="D212" s="39"/>
      <c r="E212" s="39"/>
      <c r="F212" s="39"/>
      <c r="G212" s="39"/>
    </row>
    <row r="213" spans="1:7">
      <c r="A213" s="40"/>
      <c r="B213" s="40"/>
      <c r="C213" s="40"/>
      <c r="D213" s="40"/>
      <c r="E213" s="40"/>
      <c r="F213" s="40"/>
      <c r="G213" s="40"/>
    </row>
    <row r="214" spans="1:7">
      <c r="A214" s="39"/>
      <c r="B214" s="39"/>
      <c r="C214" s="39"/>
      <c r="D214" s="39"/>
      <c r="E214" s="39"/>
      <c r="F214" s="39"/>
      <c r="G214" s="39"/>
    </row>
    <row r="215" spans="1:7">
      <c r="A215" s="40"/>
      <c r="B215" s="40"/>
      <c r="C215" s="40"/>
      <c r="D215" s="40"/>
      <c r="E215" s="40"/>
      <c r="F215" s="40"/>
      <c r="G215" s="40"/>
    </row>
    <row r="216" spans="1:7">
      <c r="A216" s="39"/>
      <c r="B216" s="39"/>
      <c r="C216" s="39"/>
      <c r="D216" s="39"/>
      <c r="E216" s="39"/>
      <c r="F216" s="39"/>
      <c r="G216" s="39"/>
    </row>
    <row r="217" spans="1:7">
      <c r="A217" s="40"/>
      <c r="B217" s="40"/>
      <c r="C217" s="40"/>
      <c r="D217" s="40"/>
      <c r="E217" s="40"/>
      <c r="F217" s="40"/>
      <c r="G217" s="40"/>
    </row>
    <row r="218" spans="1:7">
      <c r="A218" s="39"/>
      <c r="B218" s="39"/>
      <c r="C218" s="39"/>
      <c r="D218" s="39"/>
      <c r="E218" s="39"/>
      <c r="F218" s="39"/>
      <c r="G218" s="39"/>
    </row>
    <row r="219" spans="1:7">
      <c r="A219" s="40"/>
      <c r="B219" s="40"/>
      <c r="C219" s="40"/>
      <c r="D219" s="40"/>
      <c r="E219" s="40"/>
      <c r="F219" s="40"/>
      <c r="G219" s="40"/>
    </row>
    <row r="220" spans="1:7">
      <c r="A220" s="39"/>
      <c r="B220" s="39"/>
      <c r="C220" s="39"/>
      <c r="D220" s="39"/>
      <c r="E220" s="39"/>
      <c r="F220" s="39"/>
      <c r="G220" s="39"/>
    </row>
    <row r="221" spans="1:7">
      <c r="A221" s="40"/>
      <c r="B221" s="40"/>
      <c r="C221" s="40"/>
      <c r="D221" s="40"/>
      <c r="E221" s="40"/>
      <c r="F221" s="40"/>
      <c r="G221" s="40"/>
    </row>
    <row r="222" spans="1:7">
      <c r="A222" s="39"/>
      <c r="B222" s="39"/>
      <c r="C222" s="39"/>
      <c r="D222" s="39"/>
      <c r="E222" s="39"/>
      <c r="F222" s="39"/>
      <c r="G222" s="39"/>
    </row>
    <row r="223" spans="1:7">
      <c r="A223" s="40"/>
      <c r="B223" s="40"/>
      <c r="C223" s="40"/>
      <c r="D223" s="40"/>
      <c r="E223" s="40"/>
      <c r="F223" s="40"/>
      <c r="G223" s="40"/>
    </row>
    <row r="224" spans="1:7">
      <c r="A224" s="39"/>
      <c r="B224" s="39"/>
      <c r="C224" s="39"/>
      <c r="D224" s="39"/>
      <c r="E224" s="39"/>
      <c r="F224" s="39"/>
      <c r="G224" s="39"/>
    </row>
    <row r="225" spans="1:7">
      <c r="A225" s="40"/>
      <c r="B225" s="40"/>
      <c r="C225" s="40"/>
      <c r="D225" s="40"/>
      <c r="E225" s="40"/>
      <c r="F225" s="40"/>
      <c r="G225" s="40"/>
    </row>
    <row r="226" spans="1:7">
      <c r="A226" s="39"/>
      <c r="B226" s="39"/>
      <c r="C226" s="39"/>
      <c r="D226" s="39"/>
      <c r="E226" s="39"/>
      <c r="F226" s="39"/>
      <c r="G226" s="39"/>
    </row>
    <row r="227" spans="1:7">
      <c r="A227" s="40"/>
      <c r="B227" s="40"/>
      <c r="C227" s="40"/>
      <c r="D227" s="40"/>
      <c r="E227" s="40"/>
      <c r="F227" s="40"/>
      <c r="G227" s="40"/>
    </row>
    <row r="228" spans="1:7">
      <c r="A228" s="39"/>
      <c r="B228" s="39"/>
      <c r="C228" s="39"/>
      <c r="D228" s="39"/>
      <c r="E228" s="39"/>
      <c r="F228" s="39"/>
      <c r="G228" s="39"/>
    </row>
    <row r="229" spans="1:7">
      <c r="A229" s="40"/>
      <c r="B229" s="40"/>
      <c r="C229" s="40"/>
      <c r="D229" s="40"/>
      <c r="E229" s="40"/>
      <c r="F229" s="40"/>
      <c r="G229" s="40"/>
    </row>
    <row r="230" spans="1:7">
      <c r="A230" s="39"/>
      <c r="B230" s="39"/>
      <c r="C230" s="39"/>
      <c r="D230" s="39"/>
      <c r="E230" s="39"/>
      <c r="F230" s="39"/>
      <c r="G230" s="39"/>
    </row>
    <row r="231" spans="1:7">
      <c r="A231" s="40"/>
      <c r="B231" s="40"/>
      <c r="C231" s="40"/>
      <c r="D231" s="40"/>
      <c r="E231" s="40"/>
      <c r="F231" s="40"/>
      <c r="G231" s="40"/>
    </row>
    <row r="232" spans="1:7">
      <c r="A232" s="39"/>
      <c r="B232" s="39"/>
      <c r="C232" s="39"/>
      <c r="D232" s="39"/>
      <c r="E232" s="39"/>
      <c r="F232" s="39"/>
      <c r="G232" s="39"/>
    </row>
    <row r="233" spans="1:7">
      <c r="A233" s="40"/>
      <c r="B233" s="40"/>
      <c r="C233" s="40"/>
      <c r="D233" s="40"/>
      <c r="E233" s="40"/>
      <c r="F233" s="40"/>
      <c r="G233" s="40"/>
    </row>
    <row r="234" spans="1:7">
      <c r="A234" s="39"/>
      <c r="B234" s="39"/>
      <c r="C234" s="39"/>
      <c r="D234" s="39"/>
      <c r="E234" s="39"/>
      <c r="F234" s="39"/>
      <c r="G234" s="39"/>
    </row>
    <row r="235" spans="1:7">
      <c r="A235" s="40"/>
      <c r="B235" s="40"/>
      <c r="C235" s="40"/>
      <c r="D235" s="40"/>
      <c r="E235" s="40"/>
      <c r="F235" s="40"/>
      <c r="G235" s="40"/>
    </row>
    <row r="236" spans="1:7">
      <c r="A236" s="39"/>
      <c r="B236" s="39"/>
      <c r="C236" s="39"/>
      <c r="D236" s="39"/>
      <c r="E236" s="39"/>
      <c r="F236" s="39"/>
      <c r="G236" s="39"/>
    </row>
    <row r="237" spans="1:7">
      <c r="A237" s="40"/>
      <c r="B237" s="40"/>
      <c r="C237" s="40"/>
      <c r="D237" s="40"/>
      <c r="E237" s="40"/>
      <c r="F237" s="40"/>
      <c r="G237" s="40"/>
    </row>
    <row r="238" spans="1:7">
      <c r="A238" s="39"/>
      <c r="B238" s="39"/>
      <c r="C238" s="39"/>
      <c r="D238" s="39"/>
      <c r="E238" s="39"/>
      <c r="F238" s="39"/>
      <c r="G238" s="39"/>
    </row>
    <row r="239" spans="1:7">
      <c r="A239" s="40"/>
      <c r="B239" s="40"/>
      <c r="C239" s="40"/>
      <c r="D239" s="40"/>
      <c r="E239" s="40"/>
      <c r="F239" s="40"/>
      <c r="G239" s="40"/>
    </row>
    <row r="240" spans="1:7">
      <c r="A240" s="39"/>
      <c r="B240" s="39"/>
      <c r="C240" s="39"/>
      <c r="D240" s="39"/>
      <c r="E240" s="39"/>
      <c r="F240" s="39"/>
      <c r="G240" s="39"/>
    </row>
    <row r="241" spans="1:7">
      <c r="A241" s="40"/>
      <c r="B241" s="40"/>
      <c r="C241" s="40"/>
      <c r="D241" s="40"/>
      <c r="E241" s="40"/>
      <c r="F241" s="40"/>
      <c r="G241" s="40"/>
    </row>
    <row r="242" spans="1:7">
      <c r="A242" s="39"/>
      <c r="B242" s="39"/>
      <c r="C242" s="39"/>
      <c r="D242" s="39"/>
      <c r="E242" s="39"/>
      <c r="F242" s="39"/>
      <c r="G242" s="39"/>
    </row>
    <row r="243" spans="1:7">
      <c r="A243" s="40"/>
      <c r="B243" s="40"/>
      <c r="C243" s="40"/>
      <c r="D243" s="40"/>
      <c r="E243" s="40"/>
      <c r="F243" s="40"/>
      <c r="G243" s="40"/>
    </row>
    <row r="244" spans="1:7">
      <c r="A244" s="39"/>
      <c r="B244" s="39"/>
      <c r="C244" s="39"/>
      <c r="D244" s="39"/>
      <c r="E244" s="39"/>
      <c r="F244" s="39"/>
      <c r="G244" s="39"/>
    </row>
    <row r="245" spans="1:7">
      <c r="A245" s="40"/>
      <c r="B245" s="40"/>
      <c r="C245" s="40"/>
      <c r="D245" s="40"/>
      <c r="E245" s="40"/>
      <c r="F245" s="40"/>
      <c r="G245" s="40"/>
    </row>
    <row r="246" spans="1:7">
      <c r="A246" s="39"/>
      <c r="B246" s="39"/>
      <c r="C246" s="39"/>
      <c r="D246" s="39"/>
      <c r="E246" s="39"/>
      <c r="F246" s="39"/>
      <c r="G246" s="39"/>
    </row>
    <row r="247" spans="1:7">
      <c r="A247" s="40"/>
      <c r="B247" s="40"/>
      <c r="C247" s="40"/>
      <c r="D247" s="40"/>
      <c r="E247" s="40"/>
      <c r="F247" s="40"/>
      <c r="G247" s="40"/>
    </row>
    <row r="248" spans="1:7">
      <c r="A248" s="39"/>
      <c r="B248" s="39"/>
      <c r="C248" s="39"/>
      <c r="D248" s="39"/>
      <c r="E248" s="39"/>
      <c r="F248" s="39"/>
      <c r="G248" s="39"/>
    </row>
    <row r="249" spans="1:7">
      <c r="A249" s="40"/>
      <c r="B249" s="40"/>
      <c r="C249" s="40"/>
      <c r="D249" s="40"/>
      <c r="E249" s="40"/>
      <c r="F249" s="40"/>
      <c r="G249" s="40"/>
    </row>
    <row r="250" spans="1:7">
      <c r="A250" s="39"/>
      <c r="B250" s="39"/>
      <c r="C250" s="39"/>
      <c r="D250" s="39"/>
      <c r="E250" s="39"/>
      <c r="F250" s="39"/>
      <c r="G250" s="39"/>
    </row>
    <row r="251" spans="1:7">
      <c r="A251" s="40"/>
      <c r="B251" s="40"/>
      <c r="C251" s="40"/>
      <c r="D251" s="40"/>
      <c r="E251" s="40"/>
      <c r="F251" s="40"/>
      <c r="G251" s="40"/>
    </row>
    <row r="252" spans="1:7">
      <c r="A252" s="39"/>
      <c r="B252" s="39"/>
      <c r="C252" s="39"/>
      <c r="D252" s="39"/>
      <c r="E252" s="39"/>
      <c r="F252" s="39"/>
      <c r="G252" s="39"/>
    </row>
    <row r="253" spans="1:7">
      <c r="A253" s="40"/>
      <c r="B253" s="40"/>
      <c r="C253" s="40"/>
      <c r="D253" s="40"/>
      <c r="E253" s="40"/>
      <c r="F253" s="40"/>
      <c r="G253" s="40"/>
    </row>
    <row r="254" spans="1:7">
      <c r="A254" s="39"/>
      <c r="B254" s="39"/>
      <c r="C254" s="39"/>
      <c r="D254" s="39"/>
      <c r="E254" s="39"/>
      <c r="F254" s="39"/>
      <c r="G254" s="39"/>
    </row>
    <row r="255" spans="1:7">
      <c r="A255" s="40"/>
      <c r="B255" s="40"/>
      <c r="C255" s="40"/>
      <c r="D255" s="40"/>
      <c r="E255" s="40"/>
      <c r="F255" s="40"/>
      <c r="G255" s="40"/>
    </row>
    <row r="256" spans="1:7">
      <c r="A256" s="39"/>
      <c r="B256" s="39"/>
      <c r="C256" s="39"/>
      <c r="D256" s="39"/>
      <c r="E256" s="39"/>
      <c r="F256" s="39"/>
      <c r="G256" s="39"/>
    </row>
    <row r="257" spans="1:7">
      <c r="A257" s="40"/>
      <c r="B257" s="40"/>
      <c r="C257" s="40"/>
      <c r="D257" s="40"/>
      <c r="E257" s="40"/>
      <c r="F257" s="40"/>
      <c r="G257" s="40"/>
    </row>
    <row r="258" spans="1:7">
      <c r="A258" s="39"/>
      <c r="B258" s="39"/>
      <c r="C258" s="39"/>
      <c r="D258" s="39"/>
      <c r="E258" s="39"/>
      <c r="F258" s="39"/>
      <c r="G258" s="39"/>
    </row>
    <row r="259" spans="1:7">
      <c r="A259" s="40"/>
      <c r="B259" s="40"/>
      <c r="C259" s="40"/>
      <c r="D259" s="40"/>
      <c r="E259" s="40"/>
      <c r="F259" s="40"/>
      <c r="G259" s="40"/>
    </row>
    <row r="260" spans="1:7">
      <c r="A260" s="39"/>
      <c r="B260" s="39"/>
      <c r="C260" s="39"/>
      <c r="D260" s="39"/>
      <c r="E260" s="39"/>
      <c r="F260" s="39"/>
      <c r="G260" s="39"/>
    </row>
    <row r="261" spans="1:7">
      <c r="A261" s="40"/>
      <c r="B261" s="40"/>
      <c r="C261" s="40"/>
      <c r="D261" s="40"/>
      <c r="E261" s="40"/>
      <c r="F261" s="40"/>
      <c r="G261" s="40"/>
    </row>
    <row r="262" spans="1:7">
      <c r="A262" s="39"/>
      <c r="B262" s="39"/>
      <c r="C262" s="39"/>
      <c r="D262" s="39"/>
      <c r="E262" s="39"/>
      <c r="F262" s="39"/>
      <c r="G262" s="39"/>
    </row>
    <row r="263" spans="1:7">
      <c r="A263" s="40"/>
      <c r="B263" s="40"/>
      <c r="C263" s="40"/>
      <c r="D263" s="40"/>
      <c r="E263" s="40"/>
      <c r="F263" s="40"/>
      <c r="G263" s="40"/>
    </row>
    <row r="264" spans="1:7">
      <c r="A264" s="39"/>
      <c r="B264" s="39"/>
      <c r="C264" s="39"/>
      <c r="D264" s="39"/>
      <c r="E264" s="39"/>
      <c r="F264" s="39"/>
      <c r="G264" s="39"/>
    </row>
    <row r="265" spans="1:7">
      <c r="A265" s="40"/>
      <c r="B265" s="40"/>
      <c r="C265" s="40"/>
      <c r="D265" s="40"/>
      <c r="E265" s="40"/>
      <c r="F265" s="40"/>
      <c r="G265" s="40"/>
    </row>
    <row r="266" spans="1:7">
      <c r="A266" s="39"/>
      <c r="B266" s="39"/>
      <c r="C266" s="39"/>
      <c r="D266" s="39"/>
      <c r="E266" s="39"/>
      <c r="F266" s="39"/>
      <c r="G266" s="39"/>
    </row>
    <row r="267" spans="1:7">
      <c r="A267" s="40"/>
      <c r="B267" s="40"/>
      <c r="C267" s="40"/>
      <c r="D267" s="40"/>
      <c r="E267" s="40"/>
      <c r="F267" s="40"/>
      <c r="G267" s="40"/>
    </row>
    <row r="268" spans="1:7">
      <c r="A268" s="39"/>
      <c r="B268" s="39"/>
      <c r="C268" s="39"/>
      <c r="D268" s="39"/>
      <c r="E268" s="39"/>
      <c r="F268" s="39"/>
      <c r="G268" s="39"/>
    </row>
    <row r="269" spans="1:7">
      <c r="A269" s="40"/>
      <c r="B269" s="40"/>
      <c r="C269" s="40"/>
      <c r="D269" s="40"/>
      <c r="E269" s="40"/>
      <c r="F269" s="40"/>
      <c r="G269" s="40"/>
    </row>
    <row r="270" spans="1:7">
      <c r="A270" s="39"/>
      <c r="B270" s="39"/>
      <c r="C270" s="39"/>
      <c r="D270" s="39"/>
      <c r="E270" s="39"/>
      <c r="F270" s="39"/>
      <c r="G270" s="39"/>
    </row>
    <row r="271" spans="1:7">
      <c r="A271" s="40"/>
      <c r="B271" s="40"/>
      <c r="C271" s="40"/>
      <c r="D271" s="40"/>
      <c r="E271" s="40"/>
      <c r="F271" s="40"/>
      <c r="G271" s="40"/>
    </row>
    <row r="272" spans="1:7">
      <c r="A272" s="39"/>
      <c r="B272" s="39"/>
      <c r="C272" s="39"/>
      <c r="D272" s="39"/>
      <c r="E272" s="39"/>
      <c r="F272" s="39"/>
      <c r="G272" s="39"/>
    </row>
    <row r="273" spans="1:7">
      <c r="A273" s="40"/>
      <c r="B273" s="40"/>
      <c r="C273" s="40"/>
      <c r="D273" s="40"/>
      <c r="E273" s="40"/>
      <c r="F273" s="40"/>
      <c r="G273" s="40"/>
    </row>
    <row r="274" spans="1:7">
      <c r="A274" s="39"/>
      <c r="B274" s="39"/>
      <c r="C274" s="39"/>
      <c r="D274" s="39"/>
      <c r="E274" s="39"/>
      <c r="F274" s="39"/>
      <c r="G274" s="39"/>
    </row>
    <row r="275" spans="1:7">
      <c r="A275" s="40"/>
      <c r="B275" s="40"/>
      <c r="C275" s="40"/>
      <c r="D275" s="40"/>
      <c r="E275" s="40"/>
      <c r="F275" s="40"/>
      <c r="G275" s="40"/>
    </row>
    <row r="276" spans="1:7">
      <c r="A276" s="39"/>
      <c r="B276" s="39"/>
      <c r="C276" s="39"/>
      <c r="D276" s="39"/>
      <c r="E276" s="39"/>
      <c r="F276" s="39"/>
      <c r="G276" s="39"/>
    </row>
    <row r="277" spans="1:7">
      <c r="A277" s="40"/>
      <c r="B277" s="40"/>
      <c r="C277" s="40"/>
      <c r="D277" s="40"/>
      <c r="E277" s="40"/>
      <c r="F277" s="40"/>
      <c r="G277" s="40"/>
    </row>
    <row r="278" spans="1:7">
      <c r="A278" s="39"/>
      <c r="B278" s="39"/>
      <c r="C278" s="39"/>
      <c r="D278" s="39"/>
      <c r="E278" s="39"/>
      <c r="F278" s="39"/>
      <c r="G278" s="39"/>
    </row>
    <row r="279" spans="1:7">
      <c r="A279" s="40"/>
      <c r="B279" s="40"/>
      <c r="C279" s="40"/>
      <c r="D279" s="40"/>
      <c r="E279" s="40"/>
      <c r="F279" s="40"/>
      <c r="G279" s="40"/>
    </row>
    <row r="280" spans="1:7">
      <c r="A280" s="39"/>
      <c r="B280" s="39"/>
      <c r="C280" s="39"/>
      <c r="D280" s="39"/>
      <c r="E280" s="39"/>
      <c r="F280" s="39"/>
      <c r="G280" s="39"/>
    </row>
    <row r="281" spans="1:7">
      <c r="A281" s="40"/>
      <c r="B281" s="40"/>
      <c r="C281" s="40"/>
      <c r="D281" s="40"/>
      <c r="E281" s="40"/>
      <c r="F281" s="40"/>
      <c r="G281" s="40"/>
    </row>
    <row r="282" spans="1:7">
      <c r="A282" s="39"/>
      <c r="B282" s="39"/>
      <c r="C282" s="39"/>
      <c r="D282" s="39"/>
      <c r="E282" s="39"/>
      <c r="F282" s="39"/>
      <c r="G282" s="39"/>
    </row>
    <row r="283" spans="1:7">
      <c r="A283" s="40"/>
      <c r="B283" s="40"/>
      <c r="C283" s="40"/>
      <c r="D283" s="40"/>
      <c r="E283" s="40"/>
      <c r="F283" s="40"/>
      <c r="G283" s="40"/>
    </row>
    <row r="284" spans="1:7">
      <c r="A284" s="39"/>
      <c r="B284" s="39"/>
      <c r="C284" s="39"/>
      <c r="D284" s="39"/>
      <c r="E284" s="39"/>
      <c r="F284" s="39"/>
      <c r="G284" s="39"/>
    </row>
    <row r="285" spans="1:7">
      <c r="A285" s="40"/>
      <c r="B285" s="40"/>
      <c r="C285" s="40"/>
      <c r="D285" s="40"/>
      <c r="E285" s="40"/>
      <c r="F285" s="40"/>
      <c r="G285" s="40"/>
    </row>
    <row r="286" spans="1:7">
      <c r="A286" s="39"/>
      <c r="B286" s="39"/>
      <c r="C286" s="39"/>
      <c r="D286" s="39"/>
      <c r="E286" s="39"/>
      <c r="F286" s="39"/>
      <c r="G286" s="39"/>
    </row>
    <row r="287" spans="1:7">
      <c r="A287" s="40"/>
      <c r="B287" s="40"/>
      <c r="C287" s="40"/>
      <c r="D287" s="40"/>
      <c r="E287" s="40"/>
      <c r="F287" s="40"/>
      <c r="G287" s="40"/>
    </row>
    <row r="288" spans="1:7">
      <c r="A288" s="39"/>
      <c r="B288" s="39"/>
      <c r="C288" s="39"/>
      <c r="D288" s="39"/>
      <c r="E288" s="39"/>
      <c r="F288" s="39"/>
      <c r="G288" s="39"/>
    </row>
    <row r="289" spans="1:7">
      <c r="A289" s="40"/>
      <c r="B289" s="40"/>
      <c r="C289" s="40"/>
      <c r="D289" s="40"/>
      <c r="E289" s="40"/>
      <c r="F289" s="40"/>
      <c r="G289" s="40"/>
    </row>
    <row r="290" spans="1:7">
      <c r="A290" s="39"/>
      <c r="B290" s="39"/>
      <c r="C290" s="39"/>
      <c r="D290" s="39"/>
      <c r="E290" s="39"/>
      <c r="F290" s="39"/>
      <c r="G290" s="39"/>
    </row>
    <row r="291" spans="1:7">
      <c r="A291" s="40"/>
      <c r="B291" s="40"/>
      <c r="C291" s="40"/>
      <c r="D291" s="40"/>
      <c r="E291" s="40"/>
      <c r="F291" s="40"/>
      <c r="G291" s="40"/>
    </row>
    <row r="292" spans="1:7">
      <c r="A292" s="39"/>
      <c r="B292" s="39"/>
      <c r="C292" s="39"/>
      <c r="D292" s="39"/>
      <c r="E292" s="39"/>
      <c r="F292" s="39"/>
      <c r="G292" s="39"/>
    </row>
    <row r="293" spans="1:7">
      <c r="A293" s="40"/>
      <c r="B293" s="40"/>
      <c r="C293" s="40"/>
      <c r="D293" s="40"/>
      <c r="E293" s="40"/>
      <c r="F293" s="40"/>
      <c r="G293" s="40"/>
    </row>
    <row r="294" spans="1:7">
      <c r="A294" s="39"/>
      <c r="B294" s="39"/>
      <c r="C294" s="39"/>
      <c r="D294" s="39"/>
      <c r="E294" s="39"/>
      <c r="F294" s="39"/>
      <c r="G294" s="39"/>
    </row>
    <row r="295" spans="1:7">
      <c r="A295" s="40"/>
      <c r="B295" s="40"/>
      <c r="C295" s="40"/>
      <c r="D295" s="40"/>
      <c r="E295" s="40"/>
      <c r="F295" s="40"/>
      <c r="G295" s="40"/>
    </row>
    <row r="296" spans="1:7">
      <c r="A296" s="39"/>
      <c r="B296" s="39"/>
      <c r="C296" s="39"/>
      <c r="D296" s="39"/>
      <c r="E296" s="39"/>
      <c r="F296" s="39"/>
      <c r="G296" s="39"/>
    </row>
    <row r="297" spans="1:7">
      <c r="A297" s="40"/>
      <c r="B297" s="40"/>
      <c r="C297" s="40"/>
      <c r="D297" s="40"/>
      <c r="E297" s="40"/>
      <c r="F297" s="40"/>
      <c r="G297" s="40"/>
    </row>
    <row r="298" spans="1:7">
      <c r="A298" s="39"/>
      <c r="B298" s="39"/>
      <c r="C298" s="39"/>
      <c r="D298" s="39"/>
      <c r="E298" s="39"/>
      <c r="F298" s="39"/>
      <c r="G298" s="39"/>
    </row>
    <row r="299" spans="1:7">
      <c r="A299" s="40"/>
      <c r="B299" s="40"/>
      <c r="C299" s="40"/>
      <c r="D299" s="40"/>
      <c r="E299" s="40"/>
      <c r="F299" s="40"/>
      <c r="G299" s="40"/>
    </row>
    <row r="300" spans="1:7">
      <c r="A300" s="39"/>
      <c r="B300" s="39"/>
      <c r="C300" s="39"/>
      <c r="D300" s="39"/>
      <c r="E300" s="39"/>
      <c r="F300" s="39"/>
      <c r="G300" s="39"/>
    </row>
    <row r="301" spans="1:7">
      <c r="A301" s="40"/>
      <c r="B301" s="40"/>
      <c r="C301" s="40"/>
      <c r="D301" s="40"/>
      <c r="E301" s="40"/>
      <c r="F301" s="40"/>
      <c r="G301" s="40"/>
    </row>
    <row r="302" spans="1:7">
      <c r="A302" s="39"/>
      <c r="B302" s="39"/>
      <c r="C302" s="39"/>
      <c r="D302" s="39"/>
      <c r="E302" s="39"/>
      <c r="F302" s="39"/>
      <c r="G302" s="39"/>
    </row>
    <row r="303" spans="1:7">
      <c r="A303" s="40"/>
      <c r="B303" s="40"/>
      <c r="C303" s="40"/>
      <c r="D303" s="40"/>
      <c r="E303" s="40"/>
      <c r="F303" s="40"/>
      <c r="G303" s="40"/>
    </row>
    <row r="304" spans="1:7">
      <c r="A304" s="39"/>
      <c r="B304" s="39"/>
      <c r="C304" s="39"/>
      <c r="D304" s="39"/>
      <c r="E304" s="39"/>
      <c r="F304" s="39"/>
      <c r="G304" s="39"/>
    </row>
    <row r="305" spans="1:7">
      <c r="A305" s="40"/>
      <c r="B305" s="40"/>
      <c r="C305" s="40"/>
      <c r="D305" s="40"/>
      <c r="E305" s="40"/>
      <c r="F305" s="40"/>
      <c r="G305" s="40"/>
    </row>
    <row r="306" spans="1:7">
      <c r="A306" s="39"/>
      <c r="B306" s="39"/>
      <c r="C306" s="39"/>
      <c r="D306" s="39"/>
      <c r="E306" s="39"/>
      <c r="F306" s="39"/>
      <c r="G306" s="39"/>
    </row>
    <row r="307" spans="1:7">
      <c r="A307" s="40"/>
      <c r="B307" s="40"/>
      <c r="C307" s="40"/>
      <c r="D307" s="40"/>
      <c r="E307" s="40"/>
      <c r="F307" s="40"/>
      <c r="G307" s="40"/>
    </row>
    <row r="308" spans="1:7">
      <c r="A308" s="39"/>
      <c r="B308" s="39"/>
      <c r="C308" s="39"/>
      <c r="D308" s="39"/>
      <c r="E308" s="39"/>
      <c r="F308" s="39"/>
      <c r="G308" s="39"/>
    </row>
    <row r="309" spans="1:7">
      <c r="A309" s="40"/>
      <c r="B309" s="40"/>
      <c r="C309" s="40"/>
      <c r="D309" s="40"/>
      <c r="E309" s="40"/>
      <c r="F309" s="40"/>
      <c r="G309" s="40"/>
    </row>
    <row r="310" spans="1:7">
      <c r="A310" s="39"/>
      <c r="B310" s="39"/>
      <c r="C310" s="39"/>
      <c r="D310" s="39"/>
      <c r="E310" s="39"/>
      <c r="F310" s="39"/>
      <c r="G310" s="39"/>
    </row>
    <row r="311" spans="1:7">
      <c r="A311" s="40"/>
      <c r="B311" s="40"/>
      <c r="C311" s="40"/>
      <c r="D311" s="40"/>
      <c r="E311" s="40"/>
      <c r="F311" s="40"/>
      <c r="G311" s="40"/>
    </row>
    <row r="312" spans="1:7">
      <c r="A312" s="39"/>
      <c r="B312" s="39"/>
      <c r="C312" s="39"/>
      <c r="D312" s="39"/>
      <c r="E312" s="39"/>
      <c r="F312" s="39"/>
      <c r="G312" s="39"/>
    </row>
    <row r="313" spans="1:7">
      <c r="A313" s="40"/>
      <c r="B313" s="40"/>
      <c r="C313" s="40"/>
      <c r="D313" s="40"/>
      <c r="E313" s="40"/>
      <c r="F313" s="40"/>
      <c r="G313" s="40"/>
    </row>
    <row r="314" spans="1:7">
      <c r="A314" s="39"/>
      <c r="B314" s="39"/>
      <c r="C314" s="39"/>
      <c r="D314" s="39"/>
      <c r="E314" s="39"/>
      <c r="F314" s="39"/>
      <c r="G314" s="39"/>
    </row>
    <row r="315" spans="1:7">
      <c r="A315" s="40"/>
      <c r="B315" s="40"/>
      <c r="C315" s="40"/>
      <c r="D315" s="40"/>
      <c r="E315" s="40"/>
      <c r="F315" s="40"/>
      <c r="G315" s="40"/>
    </row>
    <row r="316" spans="1:7">
      <c r="A316" s="39"/>
      <c r="B316" s="39"/>
      <c r="C316" s="39"/>
      <c r="D316" s="39"/>
      <c r="E316" s="39"/>
      <c r="F316" s="39"/>
      <c r="G316" s="39"/>
    </row>
    <row r="317" spans="1:7">
      <c r="A317" s="40"/>
      <c r="B317" s="40"/>
      <c r="C317" s="40"/>
      <c r="D317" s="40"/>
      <c r="E317" s="40"/>
      <c r="F317" s="40"/>
      <c r="G317" s="40"/>
    </row>
    <row r="318" spans="1:7">
      <c r="A318" s="39"/>
      <c r="B318" s="39"/>
      <c r="C318" s="39"/>
      <c r="D318" s="39"/>
      <c r="E318" s="39"/>
      <c r="F318" s="39"/>
      <c r="G318" s="39"/>
    </row>
    <row r="319" spans="1:7">
      <c r="A319" s="40"/>
      <c r="B319" s="40"/>
      <c r="C319" s="40"/>
      <c r="D319" s="40"/>
      <c r="E319" s="40"/>
      <c r="F319" s="40"/>
      <c r="G319" s="40"/>
    </row>
    <row r="320" spans="1:7">
      <c r="A320" s="39"/>
      <c r="B320" s="39"/>
      <c r="C320" s="39"/>
      <c r="D320" s="39"/>
      <c r="E320" s="39"/>
      <c r="F320" s="39"/>
      <c r="G320" s="39"/>
    </row>
    <row r="321" spans="1:7">
      <c r="A321" s="40"/>
      <c r="B321" s="40"/>
      <c r="C321" s="40"/>
      <c r="D321" s="40"/>
      <c r="E321" s="40"/>
      <c r="F321" s="40"/>
      <c r="G321" s="40"/>
    </row>
    <row r="322" spans="1:7">
      <c r="A322" s="39"/>
      <c r="B322" s="39"/>
      <c r="C322" s="39"/>
      <c r="D322" s="39"/>
      <c r="E322" s="39"/>
      <c r="F322" s="39"/>
      <c r="G322" s="39"/>
    </row>
    <row r="323" spans="1:7">
      <c r="A323" s="40"/>
      <c r="B323" s="40"/>
      <c r="C323" s="40"/>
      <c r="D323" s="40"/>
      <c r="E323" s="40"/>
      <c r="F323" s="40"/>
      <c r="G323" s="40"/>
    </row>
    <row r="324" spans="1:7">
      <c r="A324" s="39"/>
      <c r="B324" s="39"/>
      <c r="C324" s="39"/>
      <c r="D324" s="39"/>
      <c r="E324" s="39"/>
      <c r="F324" s="39"/>
      <c r="G324" s="39"/>
    </row>
    <row r="325" spans="1:7">
      <c r="A325" s="40"/>
      <c r="B325" s="40"/>
      <c r="C325" s="40"/>
      <c r="D325" s="40"/>
      <c r="E325" s="40"/>
      <c r="F325" s="40"/>
      <c r="G325" s="40"/>
    </row>
    <row r="326" spans="1:7">
      <c r="A326" s="39"/>
      <c r="B326" s="39"/>
      <c r="C326" s="39"/>
      <c r="D326" s="39"/>
      <c r="E326" s="39"/>
      <c r="F326" s="39"/>
      <c r="G326" s="39"/>
    </row>
    <row r="327" spans="1:7">
      <c r="A327" s="40"/>
      <c r="B327" s="40"/>
      <c r="C327" s="40"/>
      <c r="D327" s="40"/>
      <c r="E327" s="40"/>
      <c r="F327" s="40"/>
      <c r="G327" s="40"/>
    </row>
    <row r="328" spans="1:7">
      <c r="A328" s="39"/>
      <c r="B328" s="39"/>
      <c r="C328" s="39"/>
      <c r="D328" s="39"/>
      <c r="E328" s="39"/>
      <c r="F328" s="39"/>
      <c r="G328" s="39"/>
    </row>
    <row r="329" spans="1:7">
      <c r="A329" s="40"/>
      <c r="B329" s="40"/>
      <c r="C329" s="40"/>
      <c r="D329" s="40"/>
      <c r="E329" s="40"/>
      <c r="F329" s="40"/>
      <c r="G329" s="40"/>
    </row>
    <row r="330" spans="1:7">
      <c r="A330" s="39"/>
      <c r="B330" s="39"/>
      <c r="C330" s="39"/>
      <c r="D330" s="39"/>
      <c r="E330" s="39"/>
      <c r="F330" s="39"/>
      <c r="G330" s="39"/>
    </row>
    <row r="331" spans="1:7">
      <c r="A331" s="40"/>
      <c r="B331" s="40"/>
      <c r="C331" s="40"/>
      <c r="D331" s="40"/>
      <c r="E331" s="40"/>
      <c r="F331" s="40"/>
      <c r="G331" s="40"/>
    </row>
    <row r="332" spans="1:7">
      <c r="A332" s="39"/>
      <c r="B332" s="39"/>
      <c r="C332" s="39"/>
      <c r="D332" s="39"/>
      <c r="E332" s="39"/>
      <c r="F332" s="39"/>
      <c r="G332" s="39"/>
    </row>
    <row r="333" spans="1:7">
      <c r="A333" s="40"/>
      <c r="B333" s="40"/>
      <c r="C333" s="40"/>
      <c r="D333" s="40"/>
      <c r="E333" s="40"/>
      <c r="F333" s="40"/>
      <c r="G333" s="40"/>
    </row>
    <row r="334" spans="1:7">
      <c r="A334" s="39"/>
      <c r="B334" s="39"/>
      <c r="C334" s="39"/>
      <c r="D334" s="39"/>
      <c r="E334" s="39"/>
      <c r="F334" s="39"/>
      <c r="G334" s="39"/>
    </row>
    <row r="335" spans="1:7">
      <c r="A335" s="40"/>
      <c r="B335" s="40"/>
      <c r="C335" s="40"/>
      <c r="D335" s="40"/>
      <c r="E335" s="40"/>
      <c r="F335" s="40"/>
      <c r="G335" s="40"/>
    </row>
    <row r="336" spans="1:7">
      <c r="A336" s="39"/>
      <c r="B336" s="39"/>
      <c r="C336" s="39"/>
      <c r="D336" s="39"/>
      <c r="E336" s="39"/>
      <c r="F336" s="39"/>
      <c r="G336" s="39"/>
    </row>
    <row r="337" spans="1:7">
      <c r="A337" s="40"/>
      <c r="B337" s="40"/>
      <c r="C337" s="40"/>
      <c r="D337" s="40"/>
      <c r="E337" s="40"/>
      <c r="F337" s="40"/>
      <c r="G337" s="40"/>
    </row>
    <row r="338" spans="1:7">
      <c r="A338" s="39"/>
      <c r="B338" s="39"/>
      <c r="C338" s="39"/>
      <c r="D338" s="39"/>
      <c r="E338" s="39"/>
      <c r="F338" s="39"/>
      <c r="G338" s="39"/>
    </row>
    <row r="339" spans="1:7">
      <c r="A339" s="40"/>
      <c r="B339" s="40"/>
      <c r="C339" s="40"/>
      <c r="D339" s="40"/>
      <c r="E339" s="40"/>
      <c r="F339" s="40"/>
      <c r="G339" s="40"/>
    </row>
    <row r="340" spans="1:7">
      <c r="A340" s="39"/>
      <c r="B340" s="39"/>
      <c r="C340" s="39"/>
      <c r="D340" s="39"/>
      <c r="E340" s="39"/>
      <c r="F340" s="39"/>
      <c r="G340" s="39"/>
    </row>
    <row r="341" spans="1:7">
      <c r="A341" s="40"/>
      <c r="B341" s="40"/>
      <c r="C341" s="40"/>
      <c r="D341" s="40"/>
      <c r="E341" s="40"/>
      <c r="F341" s="40"/>
      <c r="G341" s="40"/>
    </row>
    <row r="342" spans="1:7">
      <c r="A342" s="39"/>
      <c r="B342" s="39"/>
      <c r="C342" s="39"/>
      <c r="D342" s="39"/>
      <c r="E342" s="39"/>
      <c r="F342" s="39"/>
      <c r="G342" s="39"/>
    </row>
    <row r="343" spans="1:7">
      <c r="A343" s="40"/>
      <c r="B343" s="40"/>
      <c r="C343" s="40"/>
      <c r="D343" s="40"/>
      <c r="E343" s="40"/>
      <c r="F343" s="40"/>
      <c r="G343" s="40"/>
    </row>
    <row r="344" spans="1:7">
      <c r="A344" s="39"/>
      <c r="B344" s="39"/>
      <c r="C344" s="39"/>
      <c r="D344" s="39"/>
      <c r="E344" s="39"/>
      <c r="F344" s="39"/>
      <c r="G344" s="39"/>
    </row>
    <row r="345" spans="1:7">
      <c r="A345" s="40"/>
      <c r="B345" s="40"/>
      <c r="C345" s="40"/>
      <c r="D345" s="40"/>
      <c r="E345" s="40"/>
      <c r="F345" s="40"/>
      <c r="G345" s="40"/>
    </row>
    <row r="346" spans="1:7">
      <c r="A346" s="39"/>
      <c r="B346" s="39"/>
      <c r="C346" s="39"/>
      <c r="D346" s="39"/>
      <c r="E346" s="39"/>
      <c r="F346" s="39"/>
      <c r="G346" s="39"/>
    </row>
    <row r="347" spans="1:7">
      <c r="A347" s="40"/>
      <c r="B347" s="40"/>
      <c r="C347" s="40"/>
      <c r="D347" s="40"/>
      <c r="E347" s="40"/>
      <c r="F347" s="40"/>
      <c r="G347" s="40"/>
    </row>
    <row r="348" spans="1:7">
      <c r="A348" s="39"/>
      <c r="B348" s="39"/>
      <c r="C348" s="39"/>
      <c r="D348" s="39"/>
      <c r="E348" s="39"/>
      <c r="F348" s="39"/>
      <c r="G348" s="39"/>
    </row>
    <row r="349" spans="1:7">
      <c r="A349" s="40"/>
      <c r="B349" s="40"/>
      <c r="C349" s="40"/>
      <c r="D349" s="40"/>
      <c r="E349" s="40"/>
      <c r="F349" s="40"/>
      <c r="G349" s="40"/>
    </row>
    <row r="350" spans="1:7">
      <c r="A350" s="39"/>
      <c r="B350" s="39"/>
      <c r="C350" s="39"/>
      <c r="D350" s="39"/>
      <c r="E350" s="39"/>
      <c r="F350" s="39"/>
      <c r="G350" s="39"/>
    </row>
    <row r="351" spans="1:7">
      <c r="A351" s="40"/>
      <c r="B351" s="40"/>
      <c r="C351" s="40"/>
      <c r="D351" s="40"/>
      <c r="E351" s="40"/>
      <c r="F351" s="40"/>
      <c r="G351" s="40"/>
    </row>
    <row r="352" spans="1:7">
      <c r="A352" s="39"/>
      <c r="B352" s="39"/>
      <c r="C352" s="39"/>
      <c r="D352" s="39"/>
      <c r="E352" s="39"/>
      <c r="F352" s="39"/>
      <c r="G352" s="39"/>
    </row>
    <row r="353" spans="1:7">
      <c r="A353" s="40"/>
      <c r="B353" s="40"/>
      <c r="C353" s="40"/>
      <c r="D353" s="40"/>
      <c r="E353" s="40"/>
      <c r="F353" s="40"/>
      <c r="G353" s="40"/>
    </row>
    <row r="354" spans="1:7">
      <c r="A354" s="39"/>
      <c r="B354" s="39"/>
      <c r="C354" s="39"/>
      <c r="D354" s="39"/>
      <c r="E354" s="39"/>
      <c r="F354" s="39"/>
      <c r="G354" s="39"/>
    </row>
    <row r="355" spans="1:7">
      <c r="A355" s="40"/>
      <c r="B355" s="40"/>
      <c r="C355" s="40"/>
      <c r="D355" s="40"/>
      <c r="E355" s="40"/>
      <c r="F355" s="40"/>
      <c r="G355" s="40"/>
    </row>
    <row r="356" spans="1:7">
      <c r="A356" s="39"/>
      <c r="B356" s="39"/>
      <c r="C356" s="39"/>
      <c r="D356" s="39"/>
      <c r="E356" s="39"/>
      <c r="F356" s="39"/>
      <c r="G356" s="39"/>
    </row>
    <row r="357" spans="1:7">
      <c r="A357" s="40"/>
      <c r="B357" s="40"/>
      <c r="C357" s="40"/>
      <c r="D357" s="40"/>
      <c r="E357" s="40"/>
      <c r="F357" s="40"/>
      <c r="G357" s="40"/>
    </row>
    <row r="358" spans="1:7">
      <c r="A358" s="39"/>
      <c r="B358" s="39"/>
      <c r="C358" s="39"/>
      <c r="D358" s="39"/>
      <c r="E358" s="39"/>
      <c r="F358" s="39"/>
      <c r="G358" s="39"/>
    </row>
    <row r="359" spans="1:7">
      <c r="A359" s="40"/>
      <c r="B359" s="40"/>
      <c r="C359" s="40"/>
      <c r="D359" s="40"/>
      <c r="E359" s="40"/>
      <c r="F359" s="40"/>
      <c r="G359" s="40"/>
    </row>
    <row r="360" spans="1:7">
      <c r="A360" s="39"/>
      <c r="B360" s="39"/>
      <c r="C360" s="39"/>
      <c r="D360" s="39"/>
      <c r="E360" s="39"/>
      <c r="F360" s="39"/>
      <c r="G360" s="39"/>
    </row>
    <row r="361" spans="1:7">
      <c r="A361" s="40"/>
      <c r="B361" s="40"/>
      <c r="C361" s="40"/>
      <c r="D361" s="40"/>
      <c r="E361" s="40"/>
      <c r="F361" s="40"/>
      <c r="G361" s="40"/>
    </row>
    <row r="362" spans="1:7">
      <c r="A362" s="39"/>
      <c r="B362" s="39"/>
      <c r="C362" s="39"/>
      <c r="D362" s="39"/>
      <c r="E362" s="39"/>
      <c r="F362" s="39"/>
      <c r="G362" s="39"/>
    </row>
    <row r="363" spans="1:7">
      <c r="A363" s="40"/>
      <c r="B363" s="40"/>
      <c r="C363" s="40"/>
      <c r="D363" s="40"/>
      <c r="E363" s="40"/>
      <c r="F363" s="40"/>
      <c r="G363" s="40"/>
    </row>
    <row r="364" spans="1:7">
      <c r="A364" s="39"/>
      <c r="B364" s="39"/>
      <c r="C364" s="39"/>
      <c r="D364" s="39"/>
      <c r="E364" s="39"/>
      <c r="F364" s="39"/>
      <c r="G364" s="39"/>
    </row>
    <row r="365" spans="1:7">
      <c r="A365" s="40"/>
      <c r="B365" s="40"/>
      <c r="C365" s="40"/>
      <c r="D365" s="40"/>
      <c r="E365" s="40"/>
      <c r="F365" s="40"/>
      <c r="G365" s="40"/>
    </row>
    <row r="366" spans="1:7">
      <c r="A366" s="39"/>
      <c r="B366" s="39"/>
      <c r="C366" s="39"/>
      <c r="D366" s="39"/>
      <c r="E366" s="39"/>
      <c r="F366" s="39"/>
      <c r="G366" s="39"/>
    </row>
    <row r="367" spans="1:7">
      <c r="A367" s="40"/>
      <c r="B367" s="40"/>
      <c r="C367" s="40"/>
      <c r="D367" s="40"/>
      <c r="E367" s="40"/>
      <c r="F367" s="40"/>
      <c r="G367" s="40"/>
    </row>
    <row r="368" spans="1:7">
      <c r="A368" s="39"/>
      <c r="B368" s="39"/>
      <c r="C368" s="39"/>
      <c r="D368" s="39"/>
      <c r="E368" s="39"/>
      <c r="F368" s="39"/>
      <c r="G368" s="39"/>
    </row>
    <row r="369" spans="1:7">
      <c r="A369" s="40"/>
      <c r="B369" s="40"/>
      <c r="C369" s="40"/>
      <c r="D369" s="40"/>
      <c r="E369" s="40"/>
      <c r="F369" s="40"/>
      <c r="G369" s="40"/>
    </row>
    <row r="370" spans="1:7">
      <c r="A370" s="39"/>
      <c r="B370" s="39"/>
      <c r="C370" s="39"/>
      <c r="D370" s="39"/>
      <c r="E370" s="39"/>
      <c r="F370" s="39"/>
      <c r="G370" s="39"/>
    </row>
    <row r="371" spans="1:7">
      <c r="A371" s="40"/>
      <c r="B371" s="40"/>
      <c r="C371" s="40"/>
      <c r="D371" s="40"/>
      <c r="E371" s="40"/>
      <c r="F371" s="40"/>
      <c r="G371" s="40"/>
    </row>
    <row r="372" spans="1:7">
      <c r="A372" s="39"/>
      <c r="B372" s="39"/>
      <c r="C372" s="39"/>
      <c r="D372" s="39"/>
      <c r="E372" s="39"/>
      <c r="F372" s="39"/>
      <c r="G372" s="39"/>
    </row>
    <row r="373" spans="1:7">
      <c r="A373" s="40"/>
      <c r="B373" s="40"/>
      <c r="C373" s="40"/>
      <c r="D373" s="40"/>
      <c r="E373" s="40"/>
      <c r="F373" s="40"/>
      <c r="G373" s="40"/>
    </row>
    <row r="374" spans="1:7">
      <c r="A374" s="39"/>
      <c r="B374" s="39"/>
      <c r="C374" s="39"/>
      <c r="D374" s="39"/>
      <c r="E374" s="39"/>
      <c r="F374" s="39"/>
      <c r="G374" s="39"/>
    </row>
    <row r="375" spans="1:7">
      <c r="A375" s="40"/>
      <c r="B375" s="40"/>
      <c r="C375" s="40"/>
      <c r="D375" s="40"/>
      <c r="E375" s="40"/>
      <c r="F375" s="40"/>
      <c r="G375" s="40"/>
    </row>
    <row r="376" spans="1:7">
      <c r="A376" s="39"/>
      <c r="B376" s="39"/>
      <c r="C376" s="39"/>
      <c r="D376" s="39"/>
      <c r="E376" s="39"/>
      <c r="F376" s="39"/>
      <c r="G376" s="39"/>
    </row>
    <row r="377" spans="1:7">
      <c r="A377" s="40"/>
      <c r="B377" s="40"/>
      <c r="C377" s="40"/>
      <c r="D377" s="40"/>
      <c r="E377" s="40"/>
      <c r="F377" s="40"/>
      <c r="G377" s="40"/>
    </row>
    <row r="378" spans="1:7">
      <c r="A378" s="39"/>
      <c r="B378" s="39"/>
      <c r="C378" s="39"/>
      <c r="D378" s="39"/>
      <c r="E378" s="39"/>
      <c r="F378" s="39"/>
      <c r="G378" s="39"/>
    </row>
    <row r="379" spans="1:7">
      <c r="A379" s="40"/>
      <c r="B379" s="40"/>
      <c r="C379" s="40"/>
      <c r="D379" s="40"/>
      <c r="E379" s="40"/>
      <c r="F379" s="40"/>
      <c r="G379" s="40"/>
    </row>
    <row r="380" spans="1:7">
      <c r="A380" s="39"/>
      <c r="B380" s="39"/>
      <c r="C380" s="39"/>
      <c r="D380" s="39"/>
      <c r="E380" s="39"/>
      <c r="F380" s="39"/>
      <c r="G380" s="39"/>
    </row>
    <row r="381" spans="1:7">
      <c r="A381" s="40"/>
      <c r="B381" s="40"/>
      <c r="C381" s="40"/>
      <c r="D381" s="40"/>
      <c r="E381" s="40"/>
      <c r="F381" s="40"/>
      <c r="G381" s="40"/>
    </row>
    <row r="382" spans="1:7">
      <c r="A382" s="39"/>
      <c r="B382" s="39"/>
      <c r="C382" s="39"/>
      <c r="D382" s="39"/>
      <c r="E382" s="39"/>
      <c r="F382" s="39"/>
      <c r="G382" s="39"/>
    </row>
    <row r="383" spans="1:7">
      <c r="A383" s="40"/>
      <c r="B383" s="40"/>
      <c r="C383" s="40"/>
      <c r="D383" s="40"/>
      <c r="E383" s="40"/>
      <c r="F383" s="40"/>
      <c r="G383" s="40"/>
    </row>
    <row r="384" spans="1:7">
      <c r="A384" s="39"/>
      <c r="B384" s="39"/>
      <c r="C384" s="39"/>
      <c r="D384" s="39"/>
      <c r="E384" s="39"/>
      <c r="F384" s="39"/>
      <c r="G384" s="39"/>
    </row>
    <row r="385" spans="1:7">
      <c r="A385" s="40"/>
      <c r="B385" s="40"/>
      <c r="C385" s="40"/>
      <c r="D385" s="40"/>
      <c r="E385" s="40"/>
      <c r="F385" s="40"/>
      <c r="G385" s="40"/>
    </row>
    <row r="386" spans="1:7">
      <c r="A386" s="39"/>
      <c r="B386" s="39"/>
      <c r="C386" s="39"/>
      <c r="D386" s="39"/>
      <c r="E386" s="39"/>
      <c r="F386" s="39"/>
      <c r="G386" s="39"/>
    </row>
    <row r="387" spans="1:7">
      <c r="A387" s="40"/>
      <c r="B387" s="40"/>
      <c r="C387" s="40"/>
      <c r="D387" s="40"/>
      <c r="E387" s="40"/>
      <c r="F387" s="40"/>
      <c r="G387" s="40"/>
    </row>
    <row r="388" spans="1:7">
      <c r="A388" s="39"/>
      <c r="B388" s="39"/>
      <c r="C388" s="39"/>
      <c r="D388" s="39"/>
      <c r="E388" s="39"/>
      <c r="F388" s="39"/>
      <c r="G388" s="39"/>
    </row>
    <row r="389" spans="1:7">
      <c r="A389" s="40"/>
      <c r="B389" s="40"/>
      <c r="C389" s="40"/>
      <c r="D389" s="40"/>
      <c r="E389" s="40"/>
      <c r="F389" s="40"/>
      <c r="G389" s="40"/>
    </row>
    <row r="390" spans="1:7">
      <c r="A390" s="39"/>
      <c r="B390" s="39"/>
      <c r="C390" s="39"/>
      <c r="D390" s="39"/>
      <c r="E390" s="39"/>
      <c r="F390" s="39"/>
      <c r="G390" s="39"/>
    </row>
    <row r="391" spans="1:7">
      <c r="A391" s="40"/>
      <c r="B391" s="40"/>
      <c r="C391" s="40"/>
      <c r="D391" s="40"/>
      <c r="E391" s="40"/>
      <c r="F391" s="40"/>
      <c r="G391" s="40"/>
    </row>
    <row r="392" spans="1:7">
      <c r="A392" s="39"/>
      <c r="B392" s="39"/>
      <c r="C392" s="39"/>
      <c r="D392" s="39"/>
      <c r="E392" s="39"/>
      <c r="F392" s="39"/>
      <c r="G392" s="39"/>
    </row>
    <row r="393" spans="1:7">
      <c r="A393" s="40"/>
      <c r="B393" s="40"/>
      <c r="C393" s="40"/>
      <c r="D393" s="40"/>
      <c r="E393" s="40"/>
      <c r="F393" s="40"/>
      <c r="G393" s="40"/>
    </row>
    <row r="394" spans="1:7">
      <c r="A394" s="39"/>
      <c r="B394" s="39"/>
      <c r="C394" s="39"/>
      <c r="D394" s="39"/>
      <c r="E394" s="39"/>
      <c r="F394" s="39"/>
      <c r="G394" s="39"/>
    </row>
    <row r="395" spans="1:7">
      <c r="A395" s="40"/>
      <c r="B395" s="40"/>
      <c r="C395" s="40"/>
      <c r="D395" s="40"/>
      <c r="E395" s="40"/>
      <c r="F395" s="40"/>
      <c r="G395" s="40"/>
    </row>
    <row r="396" spans="1:7">
      <c r="A396" s="39"/>
      <c r="B396" s="39"/>
      <c r="C396" s="39"/>
      <c r="D396" s="39"/>
      <c r="E396" s="39"/>
      <c r="F396" s="39"/>
      <c r="G396" s="39"/>
    </row>
    <row r="397" spans="1:7">
      <c r="A397" s="40"/>
      <c r="B397" s="40"/>
      <c r="C397" s="40"/>
      <c r="D397" s="40"/>
      <c r="E397" s="40"/>
      <c r="F397" s="40"/>
      <c r="G397" s="40"/>
    </row>
    <row r="398" spans="1:7">
      <c r="A398" s="39"/>
      <c r="B398" s="39"/>
      <c r="C398" s="39"/>
      <c r="D398" s="39"/>
      <c r="E398" s="39"/>
      <c r="F398" s="39"/>
      <c r="G398" s="39"/>
    </row>
    <row r="399" spans="1:7">
      <c r="A399" s="40"/>
      <c r="B399" s="40"/>
      <c r="C399" s="40"/>
      <c r="D399" s="40"/>
      <c r="E399" s="40"/>
      <c r="F399" s="40"/>
      <c r="G399" s="40"/>
    </row>
    <row r="400" spans="1:7">
      <c r="A400" s="39"/>
      <c r="B400" s="39"/>
      <c r="C400" s="39"/>
      <c r="D400" s="39"/>
      <c r="E400" s="39"/>
      <c r="F400" s="39"/>
      <c r="G400" s="39"/>
    </row>
    <row r="401" spans="1:7">
      <c r="A401" s="40"/>
      <c r="B401" s="40"/>
      <c r="C401" s="40"/>
      <c r="D401" s="40"/>
      <c r="E401" s="40"/>
      <c r="F401" s="40"/>
      <c r="G401" s="40"/>
    </row>
    <row r="402" spans="1:7">
      <c r="A402" s="39"/>
      <c r="B402" s="39"/>
      <c r="C402" s="39"/>
      <c r="D402" s="39"/>
      <c r="E402" s="39"/>
      <c r="F402" s="39"/>
      <c r="G402" s="39"/>
    </row>
    <row r="403" spans="1:7">
      <c r="A403" s="40"/>
      <c r="B403" s="40"/>
      <c r="C403" s="40"/>
      <c r="D403" s="40"/>
      <c r="E403" s="40"/>
      <c r="F403" s="40"/>
      <c r="G403" s="40"/>
    </row>
    <row r="404" spans="1:7">
      <c r="A404" s="39"/>
      <c r="B404" s="39"/>
      <c r="C404" s="39"/>
      <c r="D404" s="39"/>
      <c r="E404" s="39"/>
      <c r="F404" s="39"/>
      <c r="G404" s="39"/>
    </row>
    <row r="405" spans="1:7">
      <c r="A405" s="40"/>
      <c r="B405" s="40"/>
      <c r="C405" s="40"/>
      <c r="D405" s="40"/>
      <c r="E405" s="40"/>
      <c r="F405" s="40"/>
      <c r="G405" s="40"/>
    </row>
    <row r="406" spans="1:7">
      <c r="A406" s="39"/>
      <c r="B406" s="39"/>
      <c r="C406" s="39"/>
      <c r="D406" s="39"/>
      <c r="E406" s="39"/>
      <c r="F406" s="39"/>
      <c r="G406" s="39"/>
    </row>
    <row r="407" spans="1:7">
      <c r="A407" s="40"/>
      <c r="B407" s="40"/>
      <c r="C407" s="40"/>
      <c r="D407" s="40"/>
      <c r="E407" s="40"/>
      <c r="F407" s="40"/>
      <c r="G407" s="40"/>
    </row>
    <row r="408" spans="1:7">
      <c r="A408" s="39"/>
      <c r="B408" s="39"/>
      <c r="C408" s="39"/>
      <c r="D408" s="39"/>
      <c r="E408" s="39"/>
      <c r="F408" s="39"/>
      <c r="G408" s="39"/>
    </row>
    <row r="409" spans="1:7">
      <c r="A409" s="40"/>
      <c r="B409" s="40"/>
      <c r="C409" s="40"/>
      <c r="D409" s="40"/>
      <c r="E409" s="40"/>
      <c r="F409" s="40"/>
      <c r="G409" s="40"/>
    </row>
    <row r="410" spans="1:7">
      <c r="A410" s="39"/>
      <c r="B410" s="39"/>
      <c r="C410" s="39"/>
      <c r="D410" s="39"/>
      <c r="E410" s="39"/>
      <c r="F410" s="39"/>
      <c r="G410" s="39"/>
    </row>
    <row r="411" spans="1:7">
      <c r="A411" s="40"/>
      <c r="B411" s="40"/>
      <c r="C411" s="40"/>
      <c r="D411" s="40"/>
      <c r="E411" s="40"/>
      <c r="F411" s="40"/>
      <c r="G411" s="40"/>
    </row>
    <row r="412" spans="1:7">
      <c r="A412" s="39"/>
      <c r="B412" s="39"/>
      <c r="C412" s="39"/>
      <c r="D412" s="39"/>
      <c r="E412" s="39"/>
      <c r="F412" s="39"/>
      <c r="G412" s="39"/>
    </row>
    <row r="413" spans="1:7">
      <c r="A413" s="40"/>
      <c r="B413" s="40"/>
      <c r="C413" s="40"/>
      <c r="D413" s="40"/>
      <c r="E413" s="40"/>
      <c r="F413" s="40"/>
      <c r="G413" s="40"/>
    </row>
    <row r="414" spans="1:7">
      <c r="A414" s="39"/>
      <c r="B414" s="39"/>
      <c r="C414" s="39"/>
      <c r="D414" s="39"/>
      <c r="E414" s="39"/>
      <c r="F414" s="39"/>
      <c r="G414" s="39"/>
    </row>
    <row r="415" spans="1:7">
      <c r="A415" s="40"/>
      <c r="B415" s="40"/>
      <c r="C415" s="40"/>
      <c r="D415" s="40"/>
      <c r="E415" s="40"/>
      <c r="F415" s="40"/>
      <c r="G415" s="40"/>
    </row>
    <row r="416" spans="1:7">
      <c r="A416" s="39"/>
      <c r="B416" s="39"/>
      <c r="C416" s="39"/>
      <c r="D416" s="39"/>
      <c r="E416" s="39"/>
      <c r="F416" s="39"/>
      <c r="G416" s="39"/>
    </row>
    <row r="417" spans="1:7">
      <c r="A417" s="40"/>
      <c r="B417" s="40"/>
      <c r="C417" s="40"/>
      <c r="D417" s="40"/>
      <c r="E417" s="40"/>
      <c r="F417" s="40"/>
      <c r="G417" s="40"/>
    </row>
    <row r="418" spans="1:7">
      <c r="A418" s="39"/>
      <c r="B418" s="39"/>
      <c r="C418" s="39"/>
      <c r="D418" s="39"/>
      <c r="E418" s="39"/>
      <c r="F418" s="39"/>
      <c r="G418" s="39"/>
    </row>
    <row r="419" spans="1:7">
      <c r="A419" s="40"/>
      <c r="B419" s="40"/>
      <c r="C419" s="40"/>
      <c r="D419" s="40"/>
      <c r="E419" s="40"/>
      <c r="F419" s="40"/>
      <c r="G419" s="40"/>
    </row>
    <row r="420" spans="1:7">
      <c r="A420" s="39"/>
      <c r="B420" s="39"/>
      <c r="C420" s="39"/>
      <c r="D420" s="39"/>
      <c r="E420" s="39"/>
      <c r="F420" s="39"/>
      <c r="G420" s="39"/>
    </row>
    <row r="421" spans="1:7">
      <c r="A421" s="40"/>
      <c r="B421" s="40"/>
      <c r="C421" s="40"/>
      <c r="D421" s="40"/>
      <c r="E421" s="40"/>
      <c r="F421" s="40"/>
      <c r="G421" s="40"/>
    </row>
    <row r="422" spans="1:7">
      <c r="A422" s="39"/>
      <c r="B422" s="39"/>
      <c r="C422" s="39"/>
      <c r="D422" s="39"/>
      <c r="E422" s="39"/>
      <c r="F422" s="39"/>
      <c r="G422" s="39"/>
    </row>
    <row r="423" spans="1:7">
      <c r="A423" s="40"/>
      <c r="B423" s="40"/>
      <c r="C423" s="40"/>
      <c r="D423" s="40"/>
      <c r="E423" s="40"/>
      <c r="F423" s="40"/>
      <c r="G423" s="40"/>
    </row>
    <row r="424" spans="1:7">
      <c r="A424" s="39"/>
      <c r="B424" s="39"/>
      <c r="C424" s="39"/>
      <c r="D424" s="39"/>
      <c r="E424" s="39"/>
      <c r="F424" s="39"/>
      <c r="G424" s="39"/>
    </row>
    <row r="425" spans="1:7">
      <c r="A425" s="40"/>
      <c r="B425" s="40"/>
      <c r="C425" s="40"/>
      <c r="D425" s="40"/>
      <c r="E425" s="40"/>
      <c r="F425" s="40"/>
      <c r="G425" s="40"/>
    </row>
    <row r="426" spans="1:7">
      <c r="A426" s="39"/>
      <c r="B426" s="39"/>
      <c r="C426" s="39"/>
      <c r="D426" s="39"/>
      <c r="E426" s="39"/>
      <c r="F426" s="39"/>
      <c r="G426" s="39"/>
    </row>
    <row r="427" spans="1:7">
      <c r="A427" s="40"/>
      <c r="B427" s="40"/>
      <c r="C427" s="40"/>
      <c r="D427" s="40"/>
      <c r="E427" s="40"/>
      <c r="F427" s="40"/>
      <c r="G427" s="40"/>
    </row>
    <row r="428" spans="1:7">
      <c r="A428" s="39"/>
      <c r="B428" s="39"/>
      <c r="C428" s="39"/>
      <c r="D428" s="39"/>
      <c r="E428" s="39"/>
      <c r="F428" s="39"/>
      <c r="G428" s="39"/>
    </row>
    <row r="429" spans="1:7">
      <c r="A429" s="40"/>
      <c r="B429" s="40"/>
      <c r="C429" s="40"/>
      <c r="D429" s="40"/>
      <c r="E429" s="40"/>
      <c r="F429" s="40"/>
      <c r="G429" s="40"/>
    </row>
    <row r="430" spans="1:7">
      <c r="A430" s="39"/>
      <c r="B430" s="39"/>
      <c r="C430" s="39"/>
      <c r="D430" s="39"/>
      <c r="E430" s="39"/>
      <c r="F430" s="39"/>
      <c r="G430" s="39"/>
    </row>
    <row r="431" spans="1:7">
      <c r="A431" s="40"/>
      <c r="B431" s="40"/>
      <c r="C431" s="40"/>
      <c r="D431" s="40"/>
      <c r="E431" s="40"/>
      <c r="F431" s="40"/>
      <c r="G431" s="40"/>
    </row>
    <row r="432" spans="1:7">
      <c r="A432" s="39"/>
      <c r="B432" s="39"/>
      <c r="C432" s="39"/>
      <c r="D432" s="39"/>
      <c r="E432" s="39"/>
      <c r="F432" s="39"/>
      <c r="G432" s="39"/>
    </row>
    <row r="433" spans="1:7">
      <c r="A433" s="40"/>
      <c r="B433" s="40"/>
      <c r="C433" s="40"/>
      <c r="D433" s="40"/>
      <c r="E433" s="40"/>
      <c r="F433" s="40"/>
      <c r="G433" s="40"/>
    </row>
    <row r="434" spans="1:7">
      <c r="A434" s="39"/>
      <c r="B434" s="39"/>
      <c r="C434" s="39"/>
      <c r="D434" s="39"/>
      <c r="E434" s="39"/>
      <c r="F434" s="39"/>
      <c r="G434" s="39"/>
    </row>
    <row r="435" spans="1:7">
      <c r="A435" s="40"/>
      <c r="B435" s="40"/>
      <c r="C435" s="40"/>
      <c r="D435" s="40"/>
      <c r="E435" s="40"/>
      <c r="F435" s="40"/>
      <c r="G435" s="40"/>
    </row>
    <row r="436" spans="1:7">
      <c r="A436" s="39"/>
      <c r="B436" s="39"/>
      <c r="C436" s="39"/>
      <c r="D436" s="39"/>
      <c r="E436" s="39"/>
      <c r="F436" s="39"/>
      <c r="G436" s="39"/>
    </row>
    <row r="437" spans="1:7">
      <c r="A437" s="40"/>
      <c r="B437" s="40"/>
      <c r="C437" s="40"/>
      <c r="D437" s="40"/>
      <c r="E437" s="40"/>
      <c r="F437" s="40"/>
      <c r="G437" s="40"/>
    </row>
    <row r="438" spans="1:7">
      <c r="A438" s="39"/>
      <c r="B438" s="39"/>
      <c r="C438" s="39"/>
      <c r="D438" s="39"/>
      <c r="E438" s="39"/>
      <c r="F438" s="39"/>
      <c r="G438" s="39"/>
    </row>
    <row r="439" spans="1:7">
      <c r="A439" s="40"/>
      <c r="B439" s="40"/>
      <c r="C439" s="40"/>
      <c r="D439" s="40"/>
      <c r="E439" s="40"/>
      <c r="F439" s="40"/>
      <c r="G439" s="40"/>
    </row>
    <row r="440" spans="1:7">
      <c r="A440" s="39"/>
      <c r="B440" s="39"/>
      <c r="C440" s="39"/>
      <c r="D440" s="39"/>
      <c r="E440" s="39"/>
      <c r="F440" s="39"/>
      <c r="G440" s="39"/>
    </row>
    <row r="441" spans="1:7">
      <c r="A441" s="40"/>
      <c r="B441" s="40"/>
      <c r="C441" s="40"/>
      <c r="D441" s="40"/>
      <c r="E441" s="40"/>
      <c r="F441" s="40"/>
      <c r="G441" s="40"/>
    </row>
    <row r="442" spans="1:7">
      <c r="A442" s="39"/>
      <c r="B442" s="39"/>
      <c r="C442" s="39"/>
      <c r="D442" s="39"/>
      <c r="E442" s="39"/>
      <c r="F442" s="39"/>
      <c r="G442" s="39"/>
    </row>
    <row r="443" spans="1:7">
      <c r="A443" s="40"/>
      <c r="B443" s="40"/>
      <c r="C443" s="40"/>
      <c r="D443" s="40"/>
      <c r="E443" s="40"/>
      <c r="F443" s="40"/>
      <c r="G443" s="40"/>
    </row>
    <row r="444" spans="1:7">
      <c r="A444" s="39"/>
      <c r="B444" s="39"/>
      <c r="C444" s="39"/>
      <c r="D444" s="39"/>
      <c r="E444" s="39"/>
      <c r="F444" s="39"/>
      <c r="G444" s="39"/>
    </row>
    <row r="445" spans="1:7">
      <c r="A445" s="40"/>
      <c r="B445" s="40"/>
      <c r="C445" s="40"/>
      <c r="D445" s="40"/>
      <c r="E445" s="40"/>
      <c r="F445" s="40"/>
      <c r="G445" s="40"/>
    </row>
    <row r="446" spans="1:7">
      <c r="A446" s="39"/>
      <c r="B446" s="39"/>
      <c r="C446" s="39"/>
      <c r="D446" s="39"/>
      <c r="E446" s="39"/>
      <c r="F446" s="39"/>
      <c r="G446" s="39"/>
    </row>
    <row r="447" spans="1:7">
      <c r="A447" s="40"/>
      <c r="B447" s="40"/>
      <c r="C447" s="40"/>
      <c r="D447" s="40"/>
      <c r="E447" s="40"/>
      <c r="F447" s="40"/>
      <c r="G447" s="40"/>
    </row>
    <row r="448" spans="1:7">
      <c r="A448" s="39"/>
      <c r="B448" s="39"/>
      <c r="C448" s="39"/>
      <c r="D448" s="39"/>
      <c r="E448" s="39"/>
      <c r="F448" s="39"/>
      <c r="G448" s="39"/>
    </row>
    <row r="449" spans="1:7">
      <c r="A449" s="40"/>
      <c r="B449" s="40"/>
      <c r="C449" s="40"/>
      <c r="D449" s="40"/>
      <c r="E449" s="40"/>
      <c r="F449" s="40"/>
      <c r="G449" s="40"/>
    </row>
    <row r="450" spans="1:7">
      <c r="A450" s="39"/>
      <c r="B450" s="39"/>
      <c r="C450" s="39"/>
      <c r="D450" s="39"/>
      <c r="E450" s="39"/>
      <c r="F450" s="39"/>
      <c r="G450" s="39"/>
    </row>
    <row r="451" spans="1:7">
      <c r="A451" s="40"/>
      <c r="B451" s="40"/>
      <c r="C451" s="40"/>
      <c r="D451" s="40"/>
      <c r="E451" s="40"/>
      <c r="F451" s="40"/>
      <c r="G451" s="40"/>
    </row>
    <row r="452" spans="1:7">
      <c r="A452" s="39"/>
      <c r="B452" s="39"/>
      <c r="C452" s="39"/>
      <c r="D452" s="39"/>
      <c r="E452" s="39"/>
      <c r="F452" s="39"/>
      <c r="G452" s="39"/>
    </row>
    <row r="453" spans="1:7">
      <c r="A453" s="40"/>
      <c r="B453" s="40"/>
      <c r="C453" s="40"/>
      <c r="D453" s="40"/>
      <c r="E453" s="40"/>
      <c r="F453" s="40"/>
      <c r="G453" s="40"/>
    </row>
    <row r="454" spans="1:7">
      <c r="A454" s="39"/>
      <c r="B454" s="39"/>
      <c r="C454" s="39"/>
      <c r="D454" s="39"/>
      <c r="E454" s="39"/>
      <c r="F454" s="39"/>
      <c r="G454" s="39"/>
    </row>
    <row r="455" spans="1:7">
      <c r="A455" s="40"/>
      <c r="B455" s="40"/>
      <c r="C455" s="40"/>
      <c r="D455" s="40"/>
      <c r="E455" s="40"/>
      <c r="F455" s="40"/>
      <c r="G455" s="40"/>
    </row>
    <row r="456" spans="1:7">
      <c r="A456" s="39"/>
      <c r="B456" s="39"/>
      <c r="C456" s="39"/>
      <c r="D456" s="39"/>
      <c r="E456" s="39"/>
      <c r="F456" s="39"/>
      <c r="G456" s="39"/>
    </row>
    <row r="457" spans="1:7">
      <c r="A457" s="40"/>
      <c r="B457" s="40"/>
      <c r="C457" s="40"/>
      <c r="D457" s="40"/>
      <c r="E457" s="40"/>
      <c r="F457" s="40"/>
      <c r="G457" s="40"/>
    </row>
    <row r="458" spans="1:7">
      <c r="A458" s="39"/>
      <c r="B458" s="39"/>
      <c r="C458" s="39"/>
      <c r="D458" s="39"/>
      <c r="E458" s="39"/>
      <c r="F458" s="39"/>
      <c r="G458" s="39"/>
    </row>
    <row r="459" spans="1:7">
      <c r="A459" s="40"/>
      <c r="B459" s="40"/>
      <c r="C459" s="40"/>
      <c r="D459" s="40"/>
      <c r="E459" s="40"/>
      <c r="F459" s="40"/>
      <c r="G459" s="40"/>
    </row>
    <row r="460" spans="1:7">
      <c r="A460" s="39"/>
      <c r="B460" s="39"/>
      <c r="C460" s="39"/>
      <c r="D460" s="39"/>
      <c r="E460" s="39"/>
      <c r="F460" s="39"/>
      <c r="G460" s="39"/>
    </row>
    <row r="461" spans="1:7">
      <c r="A461" s="40"/>
      <c r="B461" s="40"/>
      <c r="C461" s="40"/>
      <c r="D461" s="40"/>
      <c r="E461" s="40"/>
      <c r="F461" s="40"/>
      <c r="G461" s="40"/>
    </row>
    <row r="462" spans="1:7">
      <c r="A462" s="39"/>
      <c r="B462" s="39"/>
      <c r="C462" s="39"/>
      <c r="D462" s="39"/>
      <c r="E462" s="39"/>
      <c r="F462" s="39"/>
      <c r="G462" s="39"/>
    </row>
    <row r="463" spans="1:7">
      <c r="A463" s="40"/>
      <c r="B463" s="40"/>
      <c r="C463" s="40"/>
      <c r="D463" s="40"/>
      <c r="E463" s="40"/>
      <c r="F463" s="40"/>
      <c r="G463" s="40"/>
    </row>
    <row r="464" spans="1:7">
      <c r="A464" s="39"/>
      <c r="B464" s="39"/>
      <c r="C464" s="39"/>
      <c r="D464" s="39"/>
      <c r="E464" s="39"/>
      <c r="F464" s="39"/>
      <c r="G464" s="39"/>
    </row>
    <row r="465" spans="1:7">
      <c r="A465" s="40"/>
      <c r="B465" s="40"/>
      <c r="C465" s="40"/>
      <c r="D465" s="40"/>
      <c r="E465" s="40"/>
      <c r="F465" s="40"/>
      <c r="G465" s="40"/>
    </row>
    <row r="466" spans="1:7">
      <c r="A466" s="39"/>
      <c r="B466" s="39"/>
      <c r="C466" s="39"/>
      <c r="D466" s="39"/>
      <c r="E466" s="39"/>
      <c r="F466" s="39"/>
      <c r="G466" s="39"/>
    </row>
    <row r="467" spans="1:7">
      <c r="A467" s="40"/>
      <c r="B467" s="40"/>
      <c r="C467" s="40"/>
      <c r="D467" s="40"/>
      <c r="E467" s="40"/>
      <c r="F467" s="40"/>
      <c r="G467" s="40"/>
    </row>
    <row r="468" spans="1:7">
      <c r="A468" s="39"/>
      <c r="B468" s="39"/>
      <c r="C468" s="39"/>
      <c r="D468" s="39"/>
      <c r="E468" s="39"/>
      <c r="F468" s="39"/>
      <c r="G468" s="39"/>
    </row>
    <row r="469" spans="1:7">
      <c r="A469" s="40"/>
      <c r="B469" s="40"/>
      <c r="C469" s="40"/>
      <c r="D469" s="40"/>
      <c r="E469" s="40"/>
      <c r="F469" s="40"/>
      <c r="G469" s="40"/>
    </row>
    <row r="470" spans="1:7">
      <c r="A470" s="39"/>
      <c r="B470" s="39"/>
      <c r="C470" s="39"/>
      <c r="D470" s="39"/>
      <c r="E470" s="39"/>
      <c r="F470" s="39"/>
      <c r="G470" s="39"/>
    </row>
    <row r="471" spans="1:7">
      <c r="A471" s="40"/>
      <c r="B471" s="40"/>
      <c r="C471" s="40"/>
      <c r="D471" s="40"/>
      <c r="E471" s="40"/>
      <c r="F471" s="40"/>
      <c r="G471" s="40"/>
    </row>
    <row r="472" spans="1:7">
      <c r="A472" s="39"/>
      <c r="B472" s="39"/>
      <c r="C472" s="39"/>
      <c r="D472" s="39"/>
      <c r="E472" s="39"/>
      <c r="F472" s="39"/>
      <c r="G472" s="39"/>
    </row>
    <row r="473" spans="1:7">
      <c r="A473" s="40"/>
      <c r="B473" s="40"/>
      <c r="C473" s="40"/>
      <c r="D473" s="40"/>
      <c r="E473" s="40"/>
      <c r="F473" s="40"/>
      <c r="G473" s="40"/>
    </row>
    <row r="474" spans="1:7">
      <c r="A474" s="39"/>
      <c r="B474" s="39"/>
      <c r="C474" s="39"/>
      <c r="D474" s="39"/>
      <c r="E474" s="39"/>
      <c r="F474" s="39"/>
      <c r="G474" s="39"/>
    </row>
    <row r="475" spans="1:7">
      <c r="A475" s="40"/>
      <c r="B475" s="40"/>
      <c r="C475" s="40"/>
      <c r="D475" s="40"/>
      <c r="E475" s="40"/>
      <c r="F475" s="40"/>
      <c r="G475" s="40"/>
    </row>
    <row r="476" spans="1:7">
      <c r="A476" s="39"/>
      <c r="B476" s="39"/>
      <c r="C476" s="39"/>
      <c r="D476" s="39"/>
      <c r="E476" s="39"/>
      <c r="F476" s="39"/>
      <c r="G476" s="39"/>
    </row>
    <row r="477" spans="1:7">
      <c r="A477" s="40"/>
      <c r="B477" s="40"/>
      <c r="C477" s="40"/>
      <c r="D477" s="40"/>
      <c r="E477" s="40"/>
      <c r="F477" s="40"/>
      <c r="G477" s="40"/>
    </row>
    <row r="478" spans="1:7">
      <c r="A478" s="39"/>
      <c r="B478" s="39"/>
      <c r="C478" s="39"/>
      <c r="D478" s="39"/>
      <c r="E478" s="39"/>
      <c r="F478" s="39"/>
      <c r="G478" s="39"/>
    </row>
    <row r="479" spans="1:7">
      <c r="A479" s="40"/>
      <c r="B479" s="40"/>
      <c r="C479" s="40"/>
      <c r="D479" s="40"/>
      <c r="E479" s="40"/>
      <c r="F479" s="40"/>
      <c r="G479" s="40"/>
    </row>
    <row r="480" spans="1:7">
      <c r="A480" s="39"/>
      <c r="B480" s="39"/>
      <c r="C480" s="39"/>
      <c r="D480" s="39"/>
      <c r="E480" s="39"/>
      <c r="F480" s="39"/>
      <c r="G480" s="39"/>
    </row>
    <row r="481" spans="1:7">
      <c r="A481" s="40"/>
      <c r="B481" s="40"/>
      <c r="C481" s="40"/>
      <c r="D481" s="40"/>
      <c r="E481" s="40"/>
      <c r="F481" s="40"/>
      <c r="G481" s="40"/>
    </row>
    <row r="482" spans="1:7">
      <c r="A482" s="39"/>
      <c r="B482" s="39"/>
      <c r="C482" s="39"/>
      <c r="D482" s="39"/>
      <c r="E482" s="39"/>
      <c r="F482" s="39"/>
      <c r="G482" s="39"/>
    </row>
    <row r="483" spans="1:7">
      <c r="A483" s="40"/>
      <c r="B483" s="40"/>
      <c r="C483" s="40"/>
      <c r="D483" s="40"/>
      <c r="E483" s="40"/>
      <c r="F483" s="40"/>
      <c r="G483" s="40"/>
    </row>
    <row r="484" spans="1:7">
      <c r="A484" s="39"/>
      <c r="B484" s="39"/>
      <c r="C484" s="39"/>
      <c r="D484" s="39"/>
      <c r="E484" s="39"/>
      <c r="F484" s="39"/>
      <c r="G484" s="39"/>
    </row>
    <row r="485" spans="1:7">
      <c r="A485" s="40"/>
      <c r="B485" s="40"/>
      <c r="C485" s="40"/>
      <c r="D485" s="40"/>
      <c r="E485" s="40"/>
      <c r="F485" s="40"/>
      <c r="G485" s="40"/>
    </row>
    <row r="486" spans="1:7">
      <c r="A486" s="39"/>
      <c r="B486" s="39"/>
      <c r="C486" s="39"/>
      <c r="D486" s="39"/>
      <c r="E486" s="39"/>
      <c r="F486" s="39"/>
      <c r="G486" s="39"/>
    </row>
    <row r="487" spans="1:7">
      <c r="A487" s="40"/>
      <c r="B487" s="40"/>
      <c r="C487" s="40"/>
      <c r="D487" s="40"/>
      <c r="E487" s="40"/>
      <c r="F487" s="40"/>
      <c r="G487" s="40"/>
    </row>
    <row r="488" spans="1:7">
      <c r="A488" s="39"/>
      <c r="B488" s="39"/>
      <c r="C488" s="39"/>
      <c r="D488" s="39"/>
      <c r="E488" s="39"/>
      <c r="F488" s="39"/>
      <c r="G488" s="39"/>
    </row>
    <row r="489" spans="1:7">
      <c r="A489" s="40"/>
      <c r="B489" s="40"/>
      <c r="C489" s="40"/>
      <c r="D489" s="40"/>
      <c r="E489" s="40"/>
      <c r="F489" s="40"/>
      <c r="G489" s="40"/>
    </row>
    <row r="490" spans="1:7">
      <c r="A490" s="39"/>
      <c r="B490" s="39"/>
      <c r="C490" s="39"/>
      <c r="D490" s="39"/>
      <c r="E490" s="39"/>
      <c r="F490" s="39"/>
      <c r="G490" s="39"/>
    </row>
    <row r="491" spans="1:7">
      <c r="A491" s="40"/>
      <c r="B491" s="40"/>
      <c r="C491" s="40"/>
      <c r="D491" s="40"/>
      <c r="E491" s="40"/>
      <c r="F491" s="40"/>
      <c r="G491" s="40"/>
    </row>
    <row r="492" spans="1:7">
      <c r="A492" s="39"/>
      <c r="B492" s="39"/>
      <c r="C492" s="39"/>
      <c r="D492" s="39"/>
      <c r="E492" s="39"/>
      <c r="F492" s="39"/>
      <c r="G492" s="39"/>
    </row>
    <row r="493" spans="1:7">
      <c r="A493" s="40"/>
      <c r="B493" s="40"/>
      <c r="C493" s="40"/>
      <c r="D493" s="40"/>
      <c r="E493" s="40"/>
      <c r="F493" s="40"/>
      <c r="G493" s="40"/>
    </row>
    <row r="494" spans="1:7">
      <c r="A494" s="39"/>
      <c r="B494" s="39"/>
      <c r="C494" s="39"/>
      <c r="D494" s="39"/>
      <c r="E494" s="39"/>
      <c r="F494" s="39"/>
      <c r="G494" s="39"/>
    </row>
    <row r="495" spans="1:7">
      <c r="A495" s="40"/>
      <c r="B495" s="40"/>
      <c r="C495" s="40"/>
      <c r="D495" s="40"/>
      <c r="E495" s="40"/>
      <c r="F495" s="40"/>
      <c r="G495" s="40"/>
    </row>
    <row r="496" spans="1:7">
      <c r="A496" s="39"/>
      <c r="B496" s="39"/>
      <c r="C496" s="39"/>
      <c r="D496" s="39"/>
      <c r="E496" s="39"/>
      <c r="F496" s="39"/>
      <c r="G496" s="39"/>
    </row>
    <row r="497" spans="1:7">
      <c r="A497" s="40"/>
      <c r="B497" s="40"/>
      <c r="C497" s="40"/>
      <c r="D497" s="40"/>
      <c r="E497" s="40"/>
      <c r="F497" s="40"/>
      <c r="G497" s="40"/>
    </row>
    <row r="498" spans="1:7">
      <c r="A498" s="39"/>
      <c r="B498" s="39"/>
      <c r="C498" s="39"/>
      <c r="D498" s="39"/>
      <c r="E498" s="39"/>
      <c r="F498" s="39"/>
      <c r="G498" s="39"/>
    </row>
    <row r="499" spans="1:7">
      <c r="A499" s="40"/>
      <c r="B499" s="40"/>
      <c r="C499" s="40"/>
      <c r="D499" s="40"/>
      <c r="E499" s="40"/>
      <c r="F499" s="40"/>
      <c r="G499" s="40"/>
    </row>
    <row r="500" spans="1:7">
      <c r="A500" s="39"/>
      <c r="B500" s="39"/>
      <c r="C500" s="39"/>
      <c r="D500" s="39"/>
      <c r="E500" s="39"/>
      <c r="F500" s="39"/>
      <c r="G500" s="39"/>
    </row>
    <row r="501" spans="1:7">
      <c r="A501" s="40"/>
      <c r="B501" s="40"/>
      <c r="C501" s="40"/>
      <c r="D501" s="40"/>
      <c r="E501" s="40"/>
      <c r="F501" s="40"/>
      <c r="G501" s="40"/>
    </row>
    <row r="502" spans="1:7">
      <c r="A502" s="39"/>
      <c r="B502" s="39"/>
      <c r="C502" s="39"/>
      <c r="D502" s="39"/>
      <c r="E502" s="39"/>
      <c r="F502" s="39"/>
      <c r="G502" s="39"/>
    </row>
    <row r="503" spans="1:7">
      <c r="A503" s="40"/>
      <c r="B503" s="40"/>
      <c r="C503" s="40"/>
      <c r="D503" s="40"/>
      <c r="E503" s="40"/>
      <c r="F503" s="40"/>
      <c r="G503" s="40"/>
    </row>
    <row r="504" spans="1:7">
      <c r="A504" s="39"/>
      <c r="B504" s="39"/>
      <c r="C504" s="39"/>
      <c r="D504" s="39"/>
      <c r="E504" s="39"/>
      <c r="F504" s="39"/>
      <c r="G504" s="39"/>
    </row>
    <row r="505" spans="1:7">
      <c r="A505" s="40"/>
      <c r="B505" s="40"/>
      <c r="C505" s="40"/>
      <c r="D505" s="40"/>
      <c r="E505" s="40"/>
      <c r="F505" s="40"/>
      <c r="G505" s="40"/>
    </row>
    <row r="506" spans="1:7">
      <c r="A506" s="39"/>
      <c r="B506" s="39"/>
      <c r="C506" s="39"/>
      <c r="D506" s="39"/>
      <c r="E506" s="39"/>
      <c r="F506" s="39"/>
      <c r="G506" s="39"/>
    </row>
    <row r="507" spans="1:7">
      <c r="A507" s="40"/>
      <c r="B507" s="40"/>
      <c r="C507" s="40"/>
      <c r="D507" s="40"/>
      <c r="E507" s="40"/>
      <c r="F507" s="40"/>
      <c r="G507" s="40"/>
    </row>
    <row r="508" spans="1:7">
      <c r="A508" s="39"/>
      <c r="B508" s="39"/>
      <c r="C508" s="39"/>
      <c r="D508" s="39"/>
      <c r="E508" s="39"/>
      <c r="F508" s="39"/>
      <c r="G508" s="39"/>
    </row>
    <row r="509" spans="1:7">
      <c r="A509" s="40"/>
      <c r="B509" s="40"/>
      <c r="C509" s="40"/>
      <c r="D509" s="40"/>
      <c r="E509" s="40"/>
      <c r="F509" s="40"/>
      <c r="G509" s="40"/>
    </row>
    <row r="510" spans="1:7">
      <c r="A510" s="39"/>
      <c r="B510" s="39"/>
      <c r="C510" s="39"/>
      <c r="D510" s="39"/>
      <c r="E510" s="39"/>
      <c r="F510" s="39"/>
      <c r="G510" s="39"/>
    </row>
    <row r="511" spans="1:7">
      <c r="A511" s="40"/>
      <c r="B511" s="40"/>
      <c r="C511" s="40"/>
      <c r="D511" s="40"/>
      <c r="E511" s="40"/>
      <c r="F511" s="40"/>
      <c r="G511" s="40"/>
    </row>
    <row r="512" spans="1:7">
      <c r="A512" s="39"/>
      <c r="B512" s="39"/>
      <c r="C512" s="39"/>
      <c r="D512" s="39"/>
      <c r="E512" s="39"/>
      <c r="F512" s="39"/>
      <c r="G512" s="39"/>
    </row>
    <row r="513" spans="1:7">
      <c r="A513" s="40"/>
      <c r="B513" s="40"/>
      <c r="C513" s="40"/>
      <c r="D513" s="40"/>
      <c r="E513" s="40"/>
      <c r="F513" s="40"/>
      <c r="G513" s="40"/>
    </row>
    <row r="514" spans="1:7">
      <c r="A514" s="39"/>
      <c r="B514" s="39"/>
      <c r="C514" s="39"/>
      <c r="D514" s="39"/>
      <c r="E514" s="39"/>
      <c r="F514" s="39"/>
      <c r="G514" s="39"/>
    </row>
    <row r="515" spans="1:7">
      <c r="A515" s="40"/>
      <c r="B515" s="40"/>
      <c r="C515" s="40"/>
      <c r="D515" s="40"/>
      <c r="E515" s="40"/>
      <c r="F515" s="40"/>
      <c r="G515" s="40"/>
    </row>
    <row r="516" spans="1:7">
      <c r="A516" s="39"/>
      <c r="B516" s="39"/>
      <c r="C516" s="39"/>
      <c r="D516" s="39"/>
      <c r="E516" s="39"/>
      <c r="F516" s="39"/>
      <c r="G516" s="39"/>
    </row>
    <row r="517" spans="1:7">
      <c r="A517" s="40"/>
      <c r="B517" s="40"/>
      <c r="C517" s="40"/>
      <c r="D517" s="40"/>
      <c r="E517" s="40"/>
      <c r="F517" s="40"/>
      <c r="G517" s="40"/>
    </row>
    <row r="518" spans="1:7">
      <c r="A518" s="39"/>
      <c r="B518" s="39"/>
      <c r="C518" s="39"/>
      <c r="D518" s="39"/>
      <c r="E518" s="39"/>
      <c r="F518" s="39"/>
      <c r="G518" s="39"/>
    </row>
    <row r="519" spans="1:7">
      <c r="A519" s="40"/>
      <c r="B519" s="40"/>
      <c r="C519" s="40"/>
      <c r="D519" s="40"/>
      <c r="E519" s="40"/>
      <c r="F519" s="40"/>
      <c r="G519" s="40"/>
    </row>
    <row r="520" spans="1:7">
      <c r="A520" s="39"/>
      <c r="B520" s="39"/>
      <c r="C520" s="39"/>
      <c r="D520" s="39"/>
      <c r="E520" s="39"/>
      <c r="F520" s="39"/>
      <c r="G520" s="39"/>
    </row>
    <row r="521" spans="1:7">
      <c r="A521" s="40"/>
      <c r="B521" s="40"/>
      <c r="C521" s="40"/>
      <c r="D521" s="40"/>
      <c r="E521" s="40"/>
      <c r="F521" s="40"/>
      <c r="G521" s="40"/>
    </row>
    <row r="522" spans="1:7">
      <c r="A522" s="39"/>
      <c r="B522" s="39"/>
      <c r="C522" s="39"/>
      <c r="D522" s="39"/>
      <c r="E522" s="39"/>
      <c r="F522" s="39"/>
      <c r="G522" s="39"/>
    </row>
    <row r="523" spans="1:7">
      <c r="A523" s="40"/>
      <c r="B523" s="40"/>
      <c r="C523" s="40"/>
      <c r="D523" s="40"/>
      <c r="E523" s="40"/>
      <c r="F523" s="40"/>
      <c r="G523" s="40"/>
    </row>
    <row r="524" spans="1:7">
      <c r="A524" s="39"/>
      <c r="B524" s="39"/>
      <c r="C524" s="39"/>
      <c r="D524" s="39"/>
      <c r="E524" s="39"/>
      <c r="F524" s="39"/>
      <c r="G524" s="39"/>
    </row>
    <row r="525" spans="1:7">
      <c r="A525" s="40"/>
      <c r="B525" s="40"/>
      <c r="C525" s="40"/>
      <c r="D525" s="40"/>
      <c r="E525" s="40"/>
      <c r="F525" s="40"/>
      <c r="G525" s="40"/>
    </row>
    <row r="526" spans="1:7">
      <c r="A526" s="39"/>
      <c r="B526" s="39"/>
      <c r="C526" s="39"/>
      <c r="D526" s="39"/>
      <c r="E526" s="39"/>
      <c r="F526" s="39"/>
      <c r="G526" s="39"/>
    </row>
    <row r="527" spans="1:7">
      <c r="A527" s="40"/>
      <c r="B527" s="40"/>
      <c r="C527" s="40"/>
      <c r="D527" s="40"/>
      <c r="E527" s="40"/>
      <c r="F527" s="40"/>
      <c r="G527" s="40"/>
    </row>
    <row r="528" spans="1:7">
      <c r="A528" s="39"/>
      <c r="B528" s="39"/>
      <c r="C528" s="39"/>
      <c r="D528" s="39"/>
      <c r="E528" s="39"/>
      <c r="F528" s="39"/>
      <c r="G528" s="39"/>
    </row>
    <row r="529" spans="1:7">
      <c r="A529" s="40"/>
      <c r="B529" s="40"/>
      <c r="C529" s="40"/>
      <c r="D529" s="40"/>
      <c r="E529" s="40"/>
      <c r="F529" s="40"/>
      <c r="G529" s="40"/>
    </row>
    <row r="530" spans="1:7">
      <c r="A530" s="39"/>
      <c r="B530" s="39"/>
      <c r="C530" s="39"/>
      <c r="D530" s="39"/>
      <c r="E530" s="39"/>
      <c r="F530" s="39"/>
      <c r="G530" s="39"/>
    </row>
    <row r="531" spans="1:7">
      <c r="A531" s="40"/>
      <c r="B531" s="40"/>
      <c r="C531" s="40"/>
      <c r="D531" s="40"/>
      <c r="E531" s="40"/>
      <c r="F531" s="40"/>
      <c r="G531" s="40"/>
    </row>
    <row r="532" spans="1:7">
      <c r="A532" s="39"/>
      <c r="B532" s="39"/>
      <c r="C532" s="39"/>
      <c r="D532" s="39"/>
      <c r="E532" s="39"/>
      <c r="F532" s="39"/>
      <c r="G532" s="39"/>
    </row>
    <row r="533" spans="1:7">
      <c r="A533" s="40"/>
      <c r="B533" s="40"/>
      <c r="C533" s="40"/>
      <c r="D533" s="40"/>
      <c r="E533" s="40"/>
      <c r="F533" s="40"/>
      <c r="G533" s="40"/>
    </row>
    <row r="534" spans="1:7">
      <c r="A534" s="39"/>
      <c r="B534" s="39"/>
      <c r="C534" s="39"/>
      <c r="D534" s="39"/>
      <c r="E534" s="39"/>
      <c r="F534" s="39"/>
      <c r="G534" s="39"/>
    </row>
    <row r="535" spans="1:7">
      <c r="A535" s="40"/>
      <c r="B535" s="40"/>
      <c r="C535" s="40"/>
      <c r="D535" s="40"/>
      <c r="E535" s="40"/>
      <c r="F535" s="40"/>
      <c r="G535" s="40"/>
    </row>
    <row r="536" spans="1:7">
      <c r="A536" s="39"/>
      <c r="B536" s="39"/>
      <c r="C536" s="39"/>
      <c r="D536" s="39"/>
      <c r="E536" s="39"/>
      <c r="F536" s="39"/>
      <c r="G536" s="39"/>
    </row>
    <row r="537" spans="1:7">
      <c r="A537" s="40"/>
      <c r="B537" s="40"/>
      <c r="C537" s="40"/>
      <c r="D537" s="40"/>
      <c r="E537" s="40"/>
      <c r="F537" s="40"/>
      <c r="G537" s="40"/>
    </row>
    <row r="538" spans="1:7">
      <c r="A538" s="39"/>
      <c r="B538" s="39"/>
      <c r="C538" s="39"/>
      <c r="D538" s="39"/>
      <c r="E538" s="39"/>
      <c r="F538" s="39"/>
      <c r="G538" s="39"/>
    </row>
    <row r="539" spans="1:7">
      <c r="A539" s="40"/>
      <c r="B539" s="40"/>
      <c r="C539" s="40"/>
      <c r="D539" s="40"/>
      <c r="E539" s="40"/>
      <c r="F539" s="40"/>
      <c r="G539" s="40"/>
    </row>
    <row r="540" spans="1:7">
      <c r="A540" s="39"/>
      <c r="B540" s="39"/>
      <c r="C540" s="39"/>
      <c r="D540" s="39"/>
      <c r="E540" s="39"/>
      <c r="F540" s="39"/>
      <c r="G540" s="39"/>
    </row>
    <row r="541" spans="1:7">
      <c r="A541" s="40"/>
      <c r="B541" s="40"/>
      <c r="C541" s="40"/>
      <c r="D541" s="40"/>
      <c r="E541" s="40"/>
      <c r="F541" s="40"/>
      <c r="G541" s="40"/>
    </row>
    <row r="542" spans="1:7">
      <c r="A542" s="39"/>
      <c r="B542" s="39"/>
      <c r="C542" s="39"/>
      <c r="D542" s="39"/>
      <c r="E542" s="39"/>
      <c r="F542" s="39"/>
      <c r="G542" s="39"/>
    </row>
    <row r="543" spans="1:7">
      <c r="A543" s="40"/>
      <c r="B543" s="40"/>
      <c r="C543" s="40"/>
      <c r="D543" s="40"/>
      <c r="E543" s="40"/>
      <c r="F543" s="40"/>
      <c r="G543" s="40"/>
    </row>
    <row r="544" spans="1:7">
      <c r="A544" s="39"/>
      <c r="B544" s="39"/>
      <c r="C544" s="39"/>
      <c r="D544" s="39"/>
      <c r="E544" s="39"/>
      <c r="F544" s="39"/>
      <c r="G544" s="39"/>
    </row>
    <row r="545" spans="1:7">
      <c r="A545" s="40"/>
      <c r="B545" s="40"/>
      <c r="C545" s="40"/>
      <c r="D545" s="40"/>
      <c r="E545" s="40"/>
      <c r="F545" s="40"/>
      <c r="G545" s="40"/>
    </row>
    <row r="546" spans="1:7">
      <c r="A546" s="39"/>
      <c r="B546" s="39"/>
      <c r="C546" s="39"/>
      <c r="D546" s="39"/>
      <c r="E546" s="39"/>
      <c r="F546" s="39"/>
      <c r="G546" s="39"/>
    </row>
    <row r="547" spans="1:7">
      <c r="A547" s="40"/>
      <c r="B547" s="40"/>
      <c r="C547" s="40"/>
      <c r="D547" s="40"/>
      <c r="E547" s="40"/>
      <c r="F547" s="40"/>
      <c r="G547" s="40"/>
    </row>
    <row r="548" spans="1:7">
      <c r="A548" s="39"/>
      <c r="B548" s="39"/>
      <c r="C548" s="39"/>
      <c r="D548" s="39"/>
      <c r="E548" s="39"/>
      <c r="F548" s="39"/>
      <c r="G548" s="39"/>
    </row>
    <row r="549" spans="1:7">
      <c r="A549" s="40"/>
      <c r="B549" s="40"/>
      <c r="C549" s="40"/>
      <c r="D549" s="40"/>
      <c r="E549" s="40"/>
      <c r="F549" s="40"/>
      <c r="G549" s="40"/>
    </row>
    <row r="550" spans="1:7">
      <c r="A550" s="39"/>
      <c r="B550" s="39"/>
      <c r="C550" s="39"/>
      <c r="D550" s="39"/>
      <c r="E550" s="39"/>
      <c r="F550" s="39"/>
      <c r="G550" s="39"/>
    </row>
    <row r="551" spans="1:7">
      <c r="A551" s="40"/>
      <c r="B551" s="40"/>
      <c r="C551" s="40"/>
      <c r="D551" s="40"/>
      <c r="E551" s="40"/>
      <c r="F551" s="40"/>
      <c r="G551" s="40"/>
    </row>
    <row r="552" spans="1:7">
      <c r="A552" s="39"/>
      <c r="B552" s="39"/>
      <c r="C552" s="39"/>
      <c r="D552" s="39"/>
      <c r="E552" s="39"/>
      <c r="F552" s="39"/>
      <c r="G552" s="39"/>
    </row>
    <row r="553" spans="1:7">
      <c r="A553" s="40"/>
      <c r="B553" s="40"/>
      <c r="C553" s="40"/>
      <c r="D553" s="40"/>
      <c r="E553" s="40"/>
      <c r="F553" s="40"/>
      <c r="G553" s="40"/>
    </row>
    <row r="554" spans="1:7">
      <c r="A554" s="39"/>
      <c r="B554" s="39"/>
      <c r="C554" s="39"/>
      <c r="D554" s="39"/>
      <c r="E554" s="39"/>
      <c r="F554" s="39"/>
      <c r="G554" s="39"/>
    </row>
    <row r="555" spans="1:7">
      <c r="A555" s="40"/>
      <c r="B555" s="40"/>
      <c r="C555" s="40"/>
      <c r="D555" s="40"/>
      <c r="E555" s="40"/>
      <c r="F555" s="40"/>
      <c r="G555" s="40"/>
    </row>
    <row r="556" spans="1:7">
      <c r="A556" s="39"/>
      <c r="B556" s="39"/>
      <c r="C556" s="39"/>
      <c r="D556" s="39"/>
      <c r="E556" s="39"/>
      <c r="F556" s="39"/>
      <c r="G556" s="39"/>
    </row>
    <row r="557" spans="1:7">
      <c r="A557" s="40"/>
      <c r="B557" s="40"/>
      <c r="C557" s="40"/>
      <c r="D557" s="40"/>
      <c r="E557" s="40"/>
      <c r="F557" s="40"/>
      <c r="G557" s="40"/>
    </row>
    <row r="558" spans="1:7">
      <c r="A558" s="39"/>
      <c r="B558" s="39"/>
      <c r="C558" s="39"/>
      <c r="D558" s="39"/>
      <c r="E558" s="39"/>
      <c r="F558" s="39"/>
      <c r="G558" s="39"/>
    </row>
    <row r="559" spans="1:7">
      <c r="A559" s="40"/>
      <c r="B559" s="40"/>
      <c r="C559" s="40"/>
      <c r="D559" s="40"/>
      <c r="E559" s="40"/>
      <c r="F559" s="40"/>
      <c r="G559" s="40"/>
    </row>
    <row r="560" spans="1:7">
      <c r="A560" s="39"/>
      <c r="B560" s="39"/>
      <c r="C560" s="39"/>
      <c r="D560" s="39"/>
      <c r="E560" s="39"/>
      <c r="F560" s="39"/>
      <c r="G560" s="39"/>
    </row>
    <row r="561" spans="1:7">
      <c r="A561" s="40"/>
      <c r="B561" s="40"/>
      <c r="C561" s="40"/>
      <c r="D561" s="40"/>
      <c r="E561" s="40"/>
      <c r="F561" s="40"/>
      <c r="G561" s="40"/>
    </row>
    <row r="562" spans="1:7">
      <c r="A562" s="39"/>
      <c r="B562" s="39"/>
      <c r="C562" s="39"/>
      <c r="D562" s="39"/>
      <c r="E562" s="39"/>
      <c r="F562" s="39"/>
      <c r="G562" s="39"/>
    </row>
    <row r="563" spans="1:7">
      <c r="A563" s="40"/>
      <c r="B563" s="40"/>
      <c r="C563" s="40"/>
      <c r="D563" s="40"/>
      <c r="E563" s="40"/>
      <c r="F563" s="40"/>
      <c r="G563" s="40"/>
    </row>
    <row r="564" spans="1:7">
      <c r="A564" s="39"/>
      <c r="B564" s="39"/>
      <c r="C564" s="39"/>
      <c r="D564" s="39"/>
      <c r="E564" s="39"/>
      <c r="F564" s="39"/>
      <c r="G564" s="39"/>
    </row>
    <row r="565" spans="1:7">
      <c r="A565" s="40"/>
      <c r="B565" s="40"/>
      <c r="C565" s="40"/>
      <c r="D565" s="40"/>
      <c r="E565" s="40"/>
      <c r="F565" s="40"/>
      <c r="G565" s="40"/>
    </row>
    <row r="566" spans="1:7">
      <c r="A566" s="39"/>
      <c r="B566" s="39"/>
      <c r="C566" s="39"/>
      <c r="D566" s="39"/>
      <c r="E566" s="39"/>
      <c r="F566" s="39"/>
      <c r="G566" s="39"/>
    </row>
    <row r="567" spans="1:7">
      <c r="A567" s="40"/>
      <c r="B567" s="40"/>
      <c r="C567" s="40"/>
      <c r="D567" s="40"/>
      <c r="E567" s="40"/>
      <c r="F567" s="40"/>
      <c r="G567" s="40"/>
    </row>
    <row r="568" spans="1:7">
      <c r="A568" s="39"/>
      <c r="B568" s="39"/>
      <c r="C568" s="39"/>
      <c r="D568" s="39"/>
      <c r="E568" s="39"/>
      <c r="F568" s="39"/>
      <c r="G568" s="39"/>
    </row>
    <row r="569" spans="1:7">
      <c r="A569" s="40"/>
      <c r="B569" s="40"/>
      <c r="C569" s="40"/>
      <c r="D569" s="40"/>
      <c r="E569" s="40"/>
      <c r="F569" s="40"/>
      <c r="G569" s="40"/>
    </row>
    <row r="570" spans="1:7">
      <c r="A570" s="39"/>
      <c r="B570" s="39"/>
      <c r="C570" s="39"/>
      <c r="D570" s="39"/>
      <c r="E570" s="39"/>
      <c r="F570" s="39"/>
      <c r="G570" s="39"/>
    </row>
    <row r="571" spans="1:7">
      <c r="A571" s="40"/>
      <c r="B571" s="40"/>
      <c r="C571" s="40"/>
      <c r="D571" s="40"/>
      <c r="E571" s="40"/>
      <c r="F571" s="40"/>
      <c r="G571" s="40"/>
    </row>
    <row r="572" spans="1:7">
      <c r="A572" s="39"/>
      <c r="B572" s="39"/>
      <c r="C572" s="39"/>
      <c r="D572" s="39"/>
      <c r="E572" s="39"/>
      <c r="F572" s="39"/>
      <c r="G572" s="39"/>
    </row>
    <row r="573" spans="1:7">
      <c r="A573" s="40"/>
      <c r="B573" s="40"/>
      <c r="C573" s="40"/>
      <c r="D573" s="40"/>
      <c r="E573" s="40"/>
      <c r="F573" s="40"/>
      <c r="G573" s="40"/>
    </row>
    <row r="574" spans="1:7">
      <c r="A574" s="39"/>
      <c r="B574" s="39"/>
      <c r="C574" s="39"/>
      <c r="D574" s="39"/>
      <c r="E574" s="39"/>
      <c r="F574" s="39"/>
      <c r="G574" s="39"/>
    </row>
    <row r="575" spans="1:7">
      <c r="A575" s="40"/>
      <c r="B575" s="40"/>
      <c r="C575" s="40"/>
      <c r="D575" s="40"/>
      <c r="E575" s="40"/>
      <c r="F575" s="40"/>
      <c r="G575" s="40"/>
    </row>
    <row r="576" spans="1:7">
      <c r="A576" s="39"/>
      <c r="B576" s="39"/>
      <c r="C576" s="39"/>
      <c r="D576" s="39"/>
      <c r="E576" s="39"/>
      <c r="F576" s="39"/>
      <c r="G576" s="39"/>
    </row>
    <row r="577" spans="1:7">
      <c r="A577" s="40"/>
      <c r="B577" s="40"/>
      <c r="C577" s="40"/>
      <c r="D577" s="40"/>
      <c r="E577" s="40"/>
      <c r="F577" s="40"/>
      <c r="G577" s="40"/>
    </row>
    <row r="578" spans="1:7">
      <c r="A578" s="39"/>
      <c r="B578" s="39"/>
      <c r="C578" s="39"/>
      <c r="D578" s="39"/>
      <c r="E578" s="39"/>
      <c r="F578" s="39"/>
      <c r="G578" s="39"/>
    </row>
    <row r="579" spans="1:7">
      <c r="A579" s="40"/>
      <c r="B579" s="40"/>
      <c r="C579" s="40"/>
      <c r="D579" s="40"/>
      <c r="E579" s="40"/>
      <c r="F579" s="40"/>
      <c r="G579" s="40"/>
    </row>
    <row r="580" spans="1:7">
      <c r="A580" s="39"/>
      <c r="B580" s="39"/>
      <c r="C580" s="39"/>
      <c r="D580" s="39"/>
      <c r="E580" s="39"/>
      <c r="F580" s="39"/>
      <c r="G580" s="39"/>
    </row>
    <row r="581" spans="1:7">
      <c r="A581" s="40"/>
      <c r="B581" s="40"/>
      <c r="C581" s="40"/>
      <c r="D581" s="40"/>
      <c r="E581" s="40"/>
      <c r="F581" s="40"/>
      <c r="G581" s="40"/>
    </row>
    <row r="582" spans="1:7">
      <c r="A582" s="39"/>
      <c r="B582" s="39"/>
      <c r="C582" s="39"/>
      <c r="D582" s="39"/>
      <c r="E582" s="39"/>
      <c r="F582" s="39"/>
      <c r="G582" s="39"/>
    </row>
    <row r="583" spans="1:7">
      <c r="A583" s="40"/>
      <c r="B583" s="40"/>
      <c r="C583" s="40"/>
      <c r="D583" s="40"/>
      <c r="E583" s="40"/>
      <c r="F583" s="40"/>
      <c r="G583" s="40"/>
    </row>
    <row r="584" spans="1:7">
      <c r="A584" s="39"/>
      <c r="B584" s="39"/>
      <c r="C584" s="39"/>
      <c r="D584" s="39"/>
      <c r="E584" s="39"/>
      <c r="F584" s="39"/>
      <c r="G584" s="39"/>
    </row>
    <row r="585" spans="1:7">
      <c r="A585" s="40"/>
      <c r="B585" s="40"/>
      <c r="C585" s="40"/>
      <c r="D585" s="40"/>
      <c r="E585" s="40"/>
      <c r="F585" s="40"/>
      <c r="G585" s="40"/>
    </row>
    <row r="586" spans="1:7">
      <c r="A586" s="39"/>
      <c r="B586" s="39"/>
      <c r="C586" s="39"/>
      <c r="D586" s="39"/>
      <c r="E586" s="39"/>
      <c r="F586" s="39"/>
      <c r="G586" s="39"/>
    </row>
    <row r="587" spans="1:7">
      <c r="A587" s="40"/>
      <c r="B587" s="40"/>
      <c r="C587" s="40"/>
      <c r="D587" s="40"/>
      <c r="E587" s="40"/>
      <c r="F587" s="40"/>
      <c r="G587" s="40"/>
    </row>
    <row r="588" spans="1:7">
      <c r="A588" s="39"/>
      <c r="B588" s="39"/>
      <c r="C588" s="39"/>
      <c r="D588" s="39"/>
      <c r="E588" s="39"/>
      <c r="F588" s="39"/>
      <c r="G588" s="39"/>
    </row>
    <row r="589" spans="1:7">
      <c r="A589" s="40"/>
      <c r="B589" s="40"/>
      <c r="C589" s="40"/>
      <c r="D589" s="40"/>
      <c r="E589" s="40"/>
      <c r="F589" s="40"/>
      <c r="G589" s="40"/>
    </row>
    <row r="590" spans="1:7">
      <c r="A590" s="39"/>
      <c r="B590" s="39"/>
      <c r="C590" s="39"/>
      <c r="D590" s="39"/>
      <c r="E590" s="39"/>
      <c r="F590" s="39"/>
      <c r="G590" s="39"/>
    </row>
    <row r="591" spans="1:7">
      <c r="A591" s="40"/>
      <c r="B591" s="40"/>
      <c r="C591" s="40"/>
      <c r="D591" s="40"/>
      <c r="E591" s="40"/>
      <c r="F591" s="40"/>
      <c r="G591" s="40"/>
    </row>
    <row r="592" spans="1:7">
      <c r="A592" s="39"/>
      <c r="B592" s="39"/>
      <c r="C592" s="39"/>
      <c r="D592" s="39"/>
      <c r="E592" s="39"/>
      <c r="F592" s="39"/>
      <c r="G592" s="39"/>
    </row>
    <row r="593" spans="1:7">
      <c r="A593" s="40"/>
      <c r="B593" s="40"/>
      <c r="C593" s="40"/>
      <c r="D593" s="40"/>
      <c r="E593" s="40"/>
      <c r="F593" s="40"/>
      <c r="G593" s="40"/>
    </row>
    <row r="594" spans="1:7">
      <c r="A594" s="39"/>
      <c r="B594" s="39"/>
      <c r="C594" s="39"/>
      <c r="D594" s="39"/>
      <c r="E594" s="39"/>
      <c r="F594" s="39"/>
      <c r="G594" s="39"/>
    </row>
    <row r="595" spans="1:7">
      <c r="A595" s="40"/>
      <c r="B595" s="40"/>
      <c r="C595" s="40"/>
      <c r="D595" s="40"/>
      <c r="E595" s="40"/>
      <c r="F595" s="40"/>
      <c r="G595" s="40"/>
    </row>
    <row r="596" spans="1:7">
      <c r="A596" s="39"/>
      <c r="B596" s="39"/>
      <c r="C596" s="39"/>
      <c r="D596" s="39"/>
      <c r="E596" s="39"/>
      <c r="F596" s="39"/>
      <c r="G596" s="39"/>
    </row>
    <row r="597" spans="1:7">
      <c r="A597" s="40"/>
      <c r="B597" s="40"/>
      <c r="C597" s="40"/>
      <c r="D597" s="40"/>
      <c r="E597" s="40"/>
      <c r="F597" s="40"/>
      <c r="G597" s="40"/>
    </row>
    <row r="598" spans="1:7">
      <c r="A598" s="39"/>
      <c r="B598" s="39"/>
      <c r="C598" s="39"/>
      <c r="D598" s="39"/>
      <c r="E598" s="39"/>
      <c r="F598" s="39"/>
      <c r="G598" s="39"/>
    </row>
    <row r="599" spans="1:7">
      <c r="A599" s="40"/>
      <c r="B599" s="40"/>
      <c r="C599" s="40"/>
      <c r="D599" s="40"/>
      <c r="E599" s="40"/>
      <c r="F599" s="40"/>
      <c r="G599" s="40"/>
    </row>
    <row r="600" spans="1:7">
      <c r="A600" s="39"/>
      <c r="B600" s="39"/>
      <c r="C600" s="39"/>
      <c r="D600" s="39"/>
      <c r="E600" s="39"/>
      <c r="F600" s="39"/>
      <c r="G600" s="39"/>
    </row>
    <row r="601" spans="1:7">
      <c r="A601" s="40"/>
      <c r="B601" s="40"/>
      <c r="C601" s="40"/>
      <c r="D601" s="40"/>
      <c r="E601" s="40"/>
      <c r="F601" s="40"/>
      <c r="G601" s="40"/>
    </row>
    <row r="602" spans="1:7">
      <c r="A602" s="39"/>
      <c r="B602" s="39"/>
      <c r="C602" s="39"/>
      <c r="D602" s="39"/>
      <c r="E602" s="39"/>
      <c r="F602" s="39"/>
      <c r="G602" s="39"/>
    </row>
    <row r="603" spans="1:7">
      <c r="A603" s="40"/>
      <c r="B603" s="40"/>
      <c r="C603" s="40"/>
      <c r="D603" s="40"/>
      <c r="E603" s="40"/>
      <c r="F603" s="40"/>
      <c r="G603" s="40"/>
    </row>
    <row r="604" spans="1:7">
      <c r="A604" s="39"/>
      <c r="B604" s="39"/>
      <c r="C604" s="39"/>
      <c r="D604" s="39"/>
      <c r="E604" s="39"/>
      <c r="F604" s="39"/>
      <c r="G604" s="39"/>
    </row>
    <row r="605" spans="1:7">
      <c r="A605" s="40"/>
      <c r="B605" s="40"/>
      <c r="C605" s="40"/>
      <c r="D605" s="40"/>
      <c r="E605" s="40"/>
      <c r="F605" s="40"/>
      <c r="G605" s="40"/>
    </row>
    <row r="606" spans="1:7">
      <c r="A606" s="39"/>
      <c r="B606" s="39"/>
      <c r="C606" s="39"/>
      <c r="D606" s="39"/>
      <c r="E606" s="39"/>
      <c r="F606" s="39"/>
      <c r="G606" s="39"/>
    </row>
    <row r="607" spans="1:7">
      <c r="A607" s="40"/>
      <c r="B607" s="40"/>
      <c r="C607" s="40"/>
      <c r="D607" s="40"/>
      <c r="E607" s="40"/>
      <c r="F607" s="40"/>
      <c r="G607" s="40"/>
    </row>
    <row r="608" spans="1:7">
      <c r="A608" s="39"/>
      <c r="B608" s="39"/>
      <c r="C608" s="39"/>
      <c r="D608" s="39"/>
      <c r="E608" s="39"/>
      <c r="F608" s="39"/>
      <c r="G608" s="39"/>
    </row>
    <row r="609" spans="1:7">
      <c r="A609" s="40"/>
      <c r="B609" s="40"/>
      <c r="C609" s="40"/>
      <c r="D609" s="40"/>
      <c r="E609" s="40"/>
      <c r="F609" s="40"/>
      <c r="G609" s="40"/>
    </row>
    <row r="610" spans="1:7">
      <c r="A610" s="39"/>
      <c r="B610" s="39"/>
      <c r="C610" s="39"/>
      <c r="D610" s="39"/>
      <c r="E610" s="39"/>
      <c r="F610" s="39"/>
      <c r="G610" s="39"/>
    </row>
    <row r="611" spans="1:7">
      <c r="A611" s="40"/>
      <c r="B611" s="40"/>
      <c r="C611" s="40"/>
      <c r="D611" s="40"/>
      <c r="E611" s="40"/>
      <c r="F611" s="40"/>
      <c r="G611" s="40"/>
    </row>
    <row r="612" spans="1:7">
      <c r="A612" s="39"/>
      <c r="B612" s="39"/>
      <c r="C612" s="39"/>
      <c r="D612" s="39"/>
      <c r="E612" s="39"/>
      <c r="F612" s="39"/>
      <c r="G612" s="39"/>
    </row>
    <row r="613" spans="1:7">
      <c r="A613" s="40"/>
      <c r="B613" s="40"/>
      <c r="C613" s="40"/>
      <c r="D613" s="40"/>
      <c r="E613" s="40"/>
      <c r="F613" s="40"/>
      <c r="G613" s="40"/>
    </row>
    <row r="614" spans="1:7">
      <c r="A614" s="39"/>
      <c r="B614" s="39"/>
      <c r="C614" s="39"/>
      <c r="D614" s="39"/>
      <c r="E614" s="39"/>
      <c r="F614" s="39"/>
      <c r="G614" s="39"/>
    </row>
    <row r="615" spans="1:7">
      <c r="A615" s="40"/>
      <c r="B615" s="40"/>
      <c r="C615" s="40"/>
      <c r="D615" s="40"/>
      <c r="E615" s="40"/>
      <c r="F615" s="40"/>
      <c r="G615" s="40"/>
    </row>
    <row r="616" spans="1:7">
      <c r="A616" s="39"/>
      <c r="B616" s="39"/>
      <c r="C616" s="39"/>
      <c r="D616" s="39"/>
      <c r="E616" s="39"/>
      <c r="F616" s="39"/>
      <c r="G616" s="39"/>
    </row>
    <row r="617" spans="1:7">
      <c r="A617" s="40"/>
      <c r="B617" s="40"/>
      <c r="C617" s="40"/>
      <c r="D617" s="40"/>
      <c r="E617" s="40"/>
      <c r="F617" s="40"/>
      <c r="G617" s="40"/>
    </row>
    <row r="618" spans="1:7">
      <c r="A618" s="39"/>
      <c r="B618" s="39"/>
      <c r="C618" s="39"/>
      <c r="D618" s="39"/>
      <c r="E618" s="39"/>
      <c r="F618" s="39"/>
      <c r="G618" s="39"/>
    </row>
    <row r="619" spans="1:7">
      <c r="A619" s="40"/>
      <c r="B619" s="40"/>
      <c r="C619" s="40"/>
      <c r="D619" s="40"/>
      <c r="E619" s="40"/>
      <c r="F619" s="40"/>
      <c r="G619" s="40"/>
    </row>
    <row r="620" spans="1:7">
      <c r="A620" s="39"/>
      <c r="B620" s="39"/>
      <c r="C620" s="39"/>
      <c r="D620" s="39"/>
      <c r="E620" s="39"/>
      <c r="F620" s="39"/>
      <c r="G620" s="39"/>
    </row>
    <row r="621" spans="1:7">
      <c r="A621" s="40"/>
      <c r="B621" s="40"/>
      <c r="C621" s="40"/>
      <c r="D621" s="40"/>
      <c r="E621" s="40"/>
      <c r="F621" s="40"/>
      <c r="G621" s="40"/>
    </row>
    <row r="622" spans="1:7">
      <c r="A622" s="39"/>
      <c r="B622" s="39"/>
      <c r="C622" s="39"/>
      <c r="D622" s="39"/>
      <c r="E622" s="39"/>
      <c r="F622" s="39"/>
      <c r="G622" s="39"/>
    </row>
    <row r="623" spans="1:7">
      <c r="A623" s="40"/>
      <c r="B623" s="40"/>
      <c r="C623" s="40"/>
      <c r="D623" s="40"/>
      <c r="E623" s="40"/>
      <c r="F623" s="40"/>
      <c r="G623" s="40"/>
    </row>
    <row r="624" spans="1:7">
      <c r="A624" s="39"/>
      <c r="B624" s="39"/>
      <c r="C624" s="39"/>
      <c r="D624" s="39"/>
      <c r="E624" s="39"/>
      <c r="F624" s="39"/>
      <c r="G624" s="39"/>
    </row>
    <row r="625" spans="1:7">
      <c r="A625" s="40"/>
      <c r="B625" s="40"/>
      <c r="C625" s="40"/>
      <c r="D625" s="40"/>
      <c r="E625" s="40"/>
      <c r="F625" s="40"/>
      <c r="G625" s="40"/>
    </row>
    <row r="626" spans="1:7">
      <c r="A626" s="39"/>
      <c r="B626" s="39"/>
      <c r="C626" s="39"/>
      <c r="D626" s="39"/>
      <c r="E626" s="39"/>
      <c r="F626" s="39"/>
      <c r="G626" s="39"/>
    </row>
    <row r="627" spans="1:7">
      <c r="A627" s="40"/>
      <c r="B627" s="40"/>
      <c r="C627" s="40"/>
      <c r="D627" s="40"/>
      <c r="E627" s="40"/>
      <c r="F627" s="40"/>
      <c r="G627" s="40"/>
    </row>
    <row r="628" spans="1:7">
      <c r="A628" s="39"/>
      <c r="B628" s="39"/>
      <c r="C628" s="39"/>
      <c r="D628" s="39"/>
      <c r="E628" s="39"/>
      <c r="F628" s="39"/>
      <c r="G628" s="39"/>
    </row>
    <row r="629" spans="1:7">
      <c r="A629" s="40"/>
      <c r="B629" s="40"/>
      <c r="C629" s="40"/>
      <c r="D629" s="40"/>
      <c r="E629" s="40"/>
      <c r="F629" s="40"/>
      <c r="G629" s="40"/>
    </row>
    <row r="630" spans="1:7">
      <c r="A630" s="39"/>
      <c r="B630" s="39"/>
      <c r="C630" s="39"/>
      <c r="D630" s="39"/>
      <c r="E630" s="39"/>
      <c r="F630" s="39"/>
      <c r="G630" s="39"/>
    </row>
    <row r="631" spans="1:7">
      <c r="A631" s="40"/>
      <c r="B631" s="40"/>
      <c r="C631" s="40"/>
      <c r="D631" s="40"/>
      <c r="E631" s="40"/>
      <c r="F631" s="40"/>
      <c r="G631" s="40"/>
    </row>
    <row r="632" spans="1:7">
      <c r="A632" s="39"/>
      <c r="B632" s="39"/>
      <c r="C632" s="39"/>
      <c r="D632" s="39"/>
      <c r="E632" s="39"/>
      <c r="F632" s="39"/>
      <c r="G632" s="39"/>
    </row>
    <row r="633" spans="1:7">
      <c r="A633" s="40"/>
      <c r="B633" s="40"/>
      <c r="C633" s="40"/>
      <c r="D633" s="40"/>
      <c r="E633" s="40"/>
      <c r="F633" s="40"/>
      <c r="G633" s="40"/>
    </row>
    <row r="634" spans="1:7">
      <c r="A634" s="39"/>
      <c r="B634" s="39"/>
      <c r="C634" s="39"/>
      <c r="D634" s="39"/>
      <c r="E634" s="39"/>
      <c r="F634" s="39"/>
      <c r="G634" s="39"/>
    </row>
    <row r="635" spans="1:7">
      <c r="A635" s="40"/>
      <c r="B635" s="40"/>
      <c r="C635" s="40"/>
      <c r="D635" s="40"/>
      <c r="E635" s="40"/>
      <c r="F635" s="40"/>
      <c r="G635" s="40"/>
    </row>
    <row r="636" spans="1:7">
      <c r="A636" s="39"/>
      <c r="B636" s="39"/>
      <c r="C636" s="39"/>
      <c r="D636" s="39"/>
      <c r="E636" s="39"/>
      <c r="F636" s="39"/>
      <c r="G636" s="39"/>
    </row>
    <row r="637" spans="1:7">
      <c r="A637" s="40"/>
      <c r="B637" s="40"/>
      <c r="C637" s="40"/>
      <c r="D637" s="40"/>
      <c r="E637" s="40"/>
      <c r="F637" s="40"/>
      <c r="G637" s="40"/>
    </row>
    <row r="638" spans="1:7">
      <c r="A638" s="39"/>
      <c r="B638" s="39"/>
      <c r="C638" s="39"/>
      <c r="D638" s="39"/>
      <c r="E638" s="39"/>
      <c r="F638" s="39"/>
      <c r="G638" s="39"/>
    </row>
    <row r="639" spans="1:7">
      <c r="A639" s="40"/>
      <c r="B639" s="40"/>
      <c r="C639" s="40"/>
      <c r="D639" s="40"/>
      <c r="E639" s="40"/>
      <c r="F639" s="40"/>
      <c r="G639" s="40"/>
    </row>
    <row r="640" spans="1:7">
      <c r="A640" s="39"/>
      <c r="B640" s="39"/>
      <c r="C640" s="39"/>
      <c r="D640" s="39"/>
      <c r="E640" s="39"/>
      <c r="F640" s="39"/>
      <c r="G640" s="39"/>
    </row>
    <row r="641" spans="1:7">
      <c r="A641" s="40"/>
      <c r="B641" s="40"/>
      <c r="C641" s="40"/>
      <c r="D641" s="40"/>
      <c r="E641" s="40"/>
      <c r="F641" s="40"/>
      <c r="G641" s="40"/>
    </row>
    <row r="642" spans="1:7">
      <c r="A642" s="39"/>
      <c r="B642" s="39"/>
      <c r="C642" s="39"/>
      <c r="D642" s="39"/>
      <c r="E642" s="39"/>
      <c r="F642" s="39"/>
      <c r="G642" s="39"/>
    </row>
    <row r="643" spans="1:7">
      <c r="A643" s="40"/>
      <c r="B643" s="40"/>
      <c r="C643" s="40"/>
      <c r="D643" s="40"/>
      <c r="E643" s="40"/>
      <c r="F643" s="40"/>
      <c r="G643" s="40"/>
    </row>
    <row r="644" spans="1:7">
      <c r="A644" s="39"/>
      <c r="B644" s="39"/>
      <c r="C644" s="39"/>
      <c r="D644" s="39"/>
      <c r="E644" s="39"/>
      <c r="F644" s="39"/>
      <c r="G644" s="39"/>
    </row>
    <row r="645" spans="1:7">
      <c r="A645" s="40"/>
      <c r="B645" s="40"/>
      <c r="C645" s="40"/>
      <c r="D645" s="40"/>
      <c r="E645" s="40"/>
      <c r="F645" s="40"/>
      <c r="G645" s="40"/>
    </row>
    <row r="646" spans="1:7">
      <c r="A646" s="39"/>
      <c r="B646" s="39"/>
      <c r="C646" s="39"/>
      <c r="D646" s="39"/>
      <c r="E646" s="39"/>
      <c r="F646" s="39"/>
      <c r="G646" s="39"/>
    </row>
    <row r="647" spans="1:7">
      <c r="A647" s="40"/>
      <c r="B647" s="40"/>
      <c r="C647" s="40"/>
      <c r="D647" s="40"/>
      <c r="E647" s="40"/>
      <c r="F647" s="40"/>
      <c r="G647" s="40"/>
    </row>
    <row r="648" spans="1:7">
      <c r="A648" s="39"/>
      <c r="B648" s="39"/>
      <c r="C648" s="39"/>
      <c r="D648" s="39"/>
      <c r="E648" s="39"/>
      <c r="F648" s="39"/>
      <c r="G648" s="39"/>
    </row>
    <row r="649" spans="1:7">
      <c r="A649" s="40"/>
      <c r="B649" s="40"/>
      <c r="C649" s="40"/>
      <c r="D649" s="40"/>
      <c r="E649" s="40"/>
      <c r="F649" s="40"/>
      <c r="G649" s="40"/>
    </row>
    <row r="650" spans="1:7">
      <c r="A650" s="39"/>
      <c r="B650" s="39"/>
      <c r="C650" s="39"/>
      <c r="D650" s="39"/>
      <c r="E650" s="39"/>
      <c r="F650" s="39"/>
      <c r="G650" s="39"/>
    </row>
    <row r="651" spans="1:7">
      <c r="A651" s="40"/>
      <c r="B651" s="40"/>
      <c r="C651" s="40"/>
      <c r="D651" s="40"/>
      <c r="E651" s="40"/>
      <c r="F651" s="40"/>
      <c r="G651" s="40"/>
    </row>
    <row r="652" spans="1:7">
      <c r="A652" s="39"/>
      <c r="B652" s="39"/>
      <c r="C652" s="39"/>
      <c r="D652" s="39"/>
      <c r="E652" s="39"/>
      <c r="F652" s="39"/>
      <c r="G652" s="39"/>
    </row>
    <row r="653" spans="1:7">
      <c r="A653" s="40"/>
      <c r="B653" s="40"/>
      <c r="C653" s="40"/>
      <c r="D653" s="40"/>
      <c r="E653" s="40"/>
      <c r="F653" s="40"/>
      <c r="G653" s="40"/>
    </row>
    <row r="654" spans="1:7">
      <c r="A654" s="39"/>
      <c r="B654" s="39"/>
      <c r="C654" s="39"/>
      <c r="D654" s="39"/>
      <c r="E654" s="39"/>
      <c r="F654" s="39"/>
      <c r="G654" s="39"/>
    </row>
    <row r="655" spans="1:7">
      <c r="A655" s="40"/>
      <c r="B655" s="40"/>
      <c r="C655" s="40"/>
      <c r="D655" s="40"/>
      <c r="E655" s="40"/>
      <c r="F655" s="40"/>
      <c r="G655" s="40"/>
    </row>
    <row r="656" spans="1:7">
      <c r="A656" s="39"/>
      <c r="B656" s="39"/>
      <c r="C656" s="39"/>
      <c r="D656" s="39"/>
      <c r="E656" s="39"/>
      <c r="F656" s="39"/>
      <c r="G656" s="39"/>
    </row>
    <row r="657" spans="1:7">
      <c r="A657" s="40"/>
      <c r="B657" s="40"/>
      <c r="C657" s="40"/>
      <c r="D657" s="40"/>
      <c r="E657" s="40"/>
      <c r="F657" s="40"/>
      <c r="G657" s="40"/>
    </row>
    <row r="658" spans="1:7">
      <c r="A658" s="39"/>
      <c r="B658" s="39"/>
      <c r="C658" s="39"/>
      <c r="D658" s="39"/>
      <c r="E658" s="39"/>
      <c r="F658" s="39"/>
      <c r="G658" s="39"/>
    </row>
    <row r="659" spans="1:7">
      <c r="A659" s="40"/>
      <c r="B659" s="40"/>
      <c r="C659" s="40"/>
      <c r="D659" s="40"/>
      <c r="E659" s="40"/>
      <c r="F659" s="40"/>
      <c r="G659" s="40"/>
    </row>
    <row r="660" spans="1:7">
      <c r="A660" s="39"/>
      <c r="B660" s="39"/>
      <c r="C660" s="39"/>
      <c r="D660" s="39"/>
      <c r="E660" s="39"/>
      <c r="F660" s="39"/>
      <c r="G660" s="39"/>
    </row>
    <row r="661" spans="1:7">
      <c r="A661" s="40"/>
      <c r="B661" s="40"/>
      <c r="C661" s="40"/>
      <c r="D661" s="40"/>
      <c r="E661" s="40"/>
      <c r="F661" s="40"/>
      <c r="G661" s="40"/>
    </row>
    <row r="662" spans="1:7">
      <c r="A662" s="39"/>
      <c r="B662" s="39"/>
      <c r="C662" s="39"/>
      <c r="D662" s="39"/>
      <c r="E662" s="39"/>
      <c r="F662" s="39"/>
      <c r="G662" s="39"/>
    </row>
    <row r="663" spans="1:7">
      <c r="A663" s="40"/>
      <c r="B663" s="40"/>
      <c r="C663" s="40"/>
      <c r="D663" s="40"/>
      <c r="E663" s="40"/>
      <c r="F663" s="40"/>
      <c r="G663" s="40"/>
    </row>
    <row r="664" spans="1:7">
      <c r="A664" s="39"/>
      <c r="B664" s="39"/>
      <c r="C664" s="39"/>
      <c r="D664" s="39"/>
      <c r="E664" s="39"/>
      <c r="F664" s="39"/>
      <c r="G664" s="39"/>
    </row>
    <row r="665" spans="1:7">
      <c r="A665" s="40"/>
      <c r="B665" s="40"/>
      <c r="C665" s="40"/>
      <c r="D665" s="40"/>
      <c r="E665" s="40"/>
      <c r="F665" s="40"/>
      <c r="G665" s="40"/>
    </row>
    <row r="666" spans="1:7">
      <c r="A666" s="39"/>
      <c r="B666" s="39"/>
      <c r="C666" s="39"/>
      <c r="D666" s="39"/>
      <c r="E666" s="39"/>
      <c r="F666" s="39"/>
      <c r="G666" s="39"/>
    </row>
    <row r="667" spans="1:7">
      <c r="A667" s="40"/>
      <c r="B667" s="40"/>
      <c r="C667" s="40"/>
      <c r="D667" s="40"/>
      <c r="E667" s="40"/>
      <c r="F667" s="40"/>
      <c r="G667" s="40"/>
    </row>
    <row r="668" spans="1:7">
      <c r="A668" s="39"/>
      <c r="B668" s="39"/>
      <c r="C668" s="39"/>
      <c r="D668" s="39"/>
      <c r="E668" s="39"/>
      <c r="F668" s="39"/>
      <c r="G668" s="39"/>
    </row>
    <row r="669" spans="1:7">
      <c r="A669" s="40"/>
      <c r="B669" s="40"/>
      <c r="C669" s="40"/>
      <c r="D669" s="40"/>
      <c r="E669" s="40"/>
      <c r="F669" s="40"/>
      <c r="G669" s="40"/>
    </row>
    <row r="670" spans="1:7">
      <c r="A670" s="39"/>
      <c r="B670" s="39"/>
      <c r="C670" s="39"/>
      <c r="D670" s="39"/>
      <c r="E670" s="39"/>
      <c r="F670" s="39"/>
      <c r="G670" s="39"/>
    </row>
    <row r="671" spans="1:7">
      <c r="A671" s="40"/>
      <c r="B671" s="40"/>
      <c r="C671" s="40"/>
      <c r="D671" s="40"/>
      <c r="E671" s="40"/>
      <c r="F671" s="40"/>
      <c r="G671" s="40"/>
    </row>
    <row r="672" spans="1:7">
      <c r="A672" s="39"/>
      <c r="B672" s="39"/>
      <c r="C672" s="39"/>
      <c r="D672" s="39"/>
      <c r="E672" s="39"/>
      <c r="F672" s="39"/>
      <c r="G672" s="39"/>
    </row>
    <row r="673" spans="1:7">
      <c r="A673" s="40"/>
      <c r="B673" s="40"/>
      <c r="C673" s="40"/>
      <c r="D673" s="40"/>
      <c r="E673" s="40"/>
      <c r="F673" s="40"/>
      <c r="G673" s="40"/>
    </row>
    <row r="674" spans="1:7">
      <c r="A674" s="39"/>
      <c r="B674" s="39"/>
      <c r="C674" s="39"/>
      <c r="D674" s="39"/>
      <c r="E674" s="39"/>
      <c r="F674" s="39"/>
      <c r="G674" s="39"/>
    </row>
    <row r="675" spans="1:7">
      <c r="A675" s="40"/>
      <c r="B675" s="40"/>
      <c r="C675" s="40"/>
      <c r="D675" s="40"/>
      <c r="E675" s="40"/>
      <c r="F675" s="40"/>
      <c r="G675" s="40"/>
    </row>
    <row r="676" spans="1:7">
      <c r="A676" s="39"/>
      <c r="B676" s="39"/>
      <c r="C676" s="39"/>
      <c r="D676" s="39"/>
      <c r="E676" s="39"/>
      <c r="F676" s="39"/>
      <c r="G676" s="39"/>
    </row>
    <row r="677" spans="1:7">
      <c r="A677" s="40"/>
      <c r="B677" s="40"/>
      <c r="C677" s="40"/>
      <c r="D677" s="40"/>
      <c r="E677" s="40"/>
      <c r="F677" s="40"/>
      <c r="G677" s="40"/>
    </row>
    <row r="678" spans="1:7">
      <c r="A678" s="39"/>
      <c r="B678" s="39"/>
      <c r="C678" s="39"/>
      <c r="D678" s="39"/>
      <c r="E678" s="39"/>
      <c r="F678" s="39"/>
      <c r="G678" s="39"/>
    </row>
    <row r="679" spans="1:7">
      <c r="A679" s="40"/>
      <c r="B679" s="40"/>
      <c r="C679" s="40"/>
      <c r="D679" s="40"/>
      <c r="E679" s="40"/>
      <c r="F679" s="40"/>
      <c r="G679" s="40"/>
    </row>
    <row r="680" spans="1:7">
      <c r="A680" s="39"/>
      <c r="B680" s="39"/>
      <c r="C680" s="39"/>
      <c r="D680" s="39"/>
      <c r="E680" s="39"/>
      <c r="F680" s="39"/>
      <c r="G680" s="39"/>
    </row>
    <row r="681" spans="1:7">
      <c r="A681" s="40"/>
      <c r="B681" s="40"/>
      <c r="C681" s="40"/>
      <c r="D681" s="40"/>
      <c r="E681" s="40"/>
      <c r="F681" s="40"/>
      <c r="G681" s="40"/>
    </row>
    <row r="682" spans="1:7">
      <c r="A682" s="39"/>
      <c r="B682" s="39"/>
      <c r="C682" s="39"/>
      <c r="D682" s="39"/>
      <c r="E682" s="39"/>
      <c r="F682" s="39"/>
      <c r="G682" s="39"/>
    </row>
    <row r="683" spans="1:7">
      <c r="A683" s="40"/>
      <c r="B683" s="40"/>
      <c r="C683" s="40"/>
      <c r="D683" s="40"/>
      <c r="E683" s="40"/>
      <c r="F683" s="40"/>
      <c r="G683" s="40"/>
    </row>
    <row r="684" spans="1:7">
      <c r="A684" s="39"/>
      <c r="B684" s="39"/>
      <c r="C684" s="39"/>
      <c r="D684" s="39"/>
      <c r="E684" s="39"/>
      <c r="F684" s="39"/>
      <c r="G684" s="39"/>
    </row>
    <row r="685" spans="1:7">
      <c r="A685" s="40"/>
      <c r="B685" s="40"/>
      <c r="C685" s="40"/>
      <c r="D685" s="40"/>
      <c r="E685" s="40"/>
      <c r="F685" s="40"/>
      <c r="G685" s="40"/>
    </row>
    <row r="686" spans="1:7">
      <c r="A686" s="39"/>
      <c r="B686" s="39"/>
      <c r="C686" s="39"/>
      <c r="D686" s="39"/>
      <c r="E686" s="39"/>
      <c r="F686" s="39"/>
      <c r="G686" s="39"/>
    </row>
    <row r="687" spans="1:7">
      <c r="A687" s="40"/>
      <c r="B687" s="40"/>
      <c r="C687" s="40"/>
      <c r="D687" s="40"/>
      <c r="E687" s="40"/>
      <c r="F687" s="40"/>
      <c r="G687" s="40"/>
    </row>
    <row r="688" spans="1:7">
      <c r="A688" s="39"/>
      <c r="B688" s="39"/>
      <c r="C688" s="39"/>
      <c r="D688" s="39"/>
      <c r="E688" s="39"/>
      <c r="F688" s="39"/>
      <c r="G688" s="39"/>
    </row>
    <row r="689" spans="1:7">
      <c r="A689" s="40"/>
      <c r="B689" s="40"/>
      <c r="C689" s="40"/>
      <c r="D689" s="40"/>
      <c r="E689" s="40"/>
      <c r="F689" s="40"/>
      <c r="G689" s="40"/>
    </row>
    <row r="690" spans="1:7">
      <c r="A690" s="39"/>
      <c r="B690" s="39"/>
      <c r="C690" s="39"/>
      <c r="D690" s="39"/>
      <c r="E690" s="39"/>
      <c r="F690" s="39"/>
      <c r="G690" s="39"/>
    </row>
    <row r="691" spans="1:7">
      <c r="A691" s="40"/>
      <c r="B691" s="40"/>
      <c r="C691" s="40"/>
      <c r="D691" s="40"/>
      <c r="E691" s="40"/>
      <c r="F691" s="40"/>
      <c r="G691" s="40"/>
    </row>
    <row r="692" spans="1:7">
      <c r="A692" s="39"/>
      <c r="B692" s="39"/>
      <c r="C692" s="39"/>
      <c r="D692" s="39"/>
      <c r="E692" s="39"/>
      <c r="F692" s="39"/>
      <c r="G692" s="39"/>
    </row>
    <row r="693" spans="1:7">
      <c r="A693" s="40"/>
      <c r="B693" s="40"/>
      <c r="C693" s="40"/>
      <c r="D693" s="40"/>
      <c r="E693" s="40"/>
      <c r="F693" s="40"/>
      <c r="G693" s="40"/>
    </row>
    <row r="694" spans="1:7">
      <c r="A694" s="39"/>
      <c r="B694" s="39"/>
      <c r="C694" s="39"/>
      <c r="D694" s="39"/>
      <c r="E694" s="39"/>
      <c r="F694" s="39"/>
      <c r="G694" s="39"/>
    </row>
    <row r="695" spans="1:7">
      <c r="A695" s="40"/>
      <c r="B695" s="40"/>
      <c r="C695" s="40"/>
      <c r="D695" s="40"/>
      <c r="E695" s="40"/>
      <c r="F695" s="40"/>
      <c r="G695" s="40"/>
    </row>
    <row r="696" spans="1:7">
      <c r="A696" s="39"/>
      <c r="B696" s="39"/>
      <c r="C696" s="39"/>
      <c r="D696" s="39"/>
      <c r="E696" s="39"/>
      <c r="F696" s="39"/>
      <c r="G696" s="39"/>
    </row>
    <row r="697" spans="1:7">
      <c r="A697" s="40"/>
      <c r="B697" s="40"/>
      <c r="C697" s="40"/>
      <c r="D697" s="40"/>
      <c r="E697" s="40"/>
      <c r="F697" s="40"/>
      <c r="G697" s="40"/>
    </row>
    <row r="698" spans="1:7">
      <c r="A698" s="39"/>
      <c r="B698" s="39"/>
      <c r="C698" s="39"/>
      <c r="D698" s="39"/>
      <c r="E698" s="39"/>
      <c r="F698" s="39"/>
      <c r="G698" s="39"/>
    </row>
    <row r="699" spans="1:7">
      <c r="A699" s="40"/>
      <c r="B699" s="40"/>
      <c r="C699" s="40"/>
      <c r="D699" s="40"/>
      <c r="E699" s="40"/>
      <c r="F699" s="40"/>
      <c r="G699" s="40"/>
    </row>
    <row r="700" spans="1:7">
      <c r="A700" s="39"/>
      <c r="B700" s="39"/>
      <c r="C700" s="39"/>
      <c r="D700" s="39"/>
      <c r="E700" s="39"/>
      <c r="F700" s="39"/>
      <c r="G700" s="39"/>
    </row>
    <row r="701" spans="1:7">
      <c r="A701" s="40"/>
      <c r="B701" s="40"/>
      <c r="C701" s="40"/>
      <c r="D701" s="40"/>
      <c r="E701" s="40"/>
      <c r="F701" s="40"/>
      <c r="G701" s="40"/>
    </row>
    <row r="702" spans="1:7">
      <c r="A702" s="39"/>
      <c r="B702" s="39"/>
      <c r="C702" s="39"/>
      <c r="D702" s="39"/>
      <c r="E702" s="39"/>
      <c r="F702" s="39"/>
      <c r="G702" s="39"/>
    </row>
    <row r="703" spans="1:7">
      <c r="A703" s="40"/>
      <c r="B703" s="40"/>
      <c r="C703" s="40"/>
      <c r="D703" s="40"/>
      <c r="E703" s="40"/>
      <c r="F703" s="40"/>
      <c r="G703" s="40"/>
    </row>
    <row r="704" spans="1:7">
      <c r="A704" s="39"/>
      <c r="B704" s="39"/>
      <c r="C704" s="39"/>
      <c r="D704" s="39"/>
      <c r="E704" s="39"/>
      <c r="F704" s="39"/>
      <c r="G704" s="39"/>
    </row>
    <row r="705" spans="1:7">
      <c r="A705" s="40"/>
      <c r="B705" s="40"/>
      <c r="C705" s="40"/>
      <c r="D705" s="40"/>
      <c r="E705" s="40"/>
      <c r="F705" s="40"/>
      <c r="G705" s="40"/>
    </row>
    <row r="706" spans="1:7">
      <c r="A706" s="39"/>
      <c r="B706" s="39"/>
      <c r="C706" s="39"/>
      <c r="D706" s="39"/>
      <c r="E706" s="39"/>
      <c r="F706" s="39"/>
      <c r="G706" s="39"/>
    </row>
    <row r="707" spans="1:7">
      <c r="A707" s="40"/>
      <c r="B707" s="40"/>
      <c r="C707" s="40"/>
      <c r="D707" s="40"/>
      <c r="E707" s="40"/>
      <c r="F707" s="40"/>
      <c r="G707" s="40"/>
    </row>
    <row r="708" spans="1:7">
      <c r="A708" s="39"/>
      <c r="B708" s="39"/>
      <c r="C708" s="39"/>
      <c r="D708" s="39"/>
      <c r="E708" s="39"/>
      <c r="F708" s="39"/>
      <c r="G708" s="39"/>
    </row>
    <row r="709" spans="1:7">
      <c r="A709" s="40"/>
      <c r="B709" s="40"/>
      <c r="C709" s="40"/>
      <c r="D709" s="40"/>
      <c r="E709" s="40"/>
      <c r="F709" s="40"/>
      <c r="G709" s="40"/>
    </row>
    <row r="710" spans="1:7">
      <c r="A710" s="39"/>
      <c r="B710" s="39"/>
      <c r="C710" s="39"/>
      <c r="D710" s="39"/>
      <c r="E710" s="39"/>
      <c r="F710" s="39"/>
      <c r="G710" s="39"/>
    </row>
    <row r="711" spans="1:7">
      <c r="A711" s="40"/>
      <c r="B711" s="40"/>
      <c r="C711" s="40"/>
      <c r="D711" s="40"/>
      <c r="E711" s="40"/>
      <c r="F711" s="40"/>
      <c r="G711" s="40"/>
    </row>
    <row r="712" spans="1:7">
      <c r="A712" s="39"/>
      <c r="B712" s="39"/>
      <c r="C712" s="39"/>
      <c r="D712" s="39"/>
      <c r="E712" s="39"/>
      <c r="F712" s="39"/>
      <c r="G712" s="39"/>
    </row>
    <row r="713" spans="1:7">
      <c r="A713" s="40"/>
      <c r="B713" s="40"/>
      <c r="C713" s="40"/>
      <c r="D713" s="40"/>
      <c r="E713" s="40"/>
      <c r="F713" s="40"/>
      <c r="G713" s="40"/>
    </row>
    <row r="714" spans="1:7">
      <c r="A714" s="39"/>
      <c r="B714" s="39"/>
      <c r="C714" s="39"/>
      <c r="D714" s="39"/>
      <c r="E714" s="39"/>
      <c r="F714" s="39"/>
      <c r="G714" s="39"/>
    </row>
    <row r="715" spans="1:7">
      <c r="A715" s="40"/>
      <c r="B715" s="40"/>
      <c r="C715" s="40"/>
      <c r="D715" s="40"/>
      <c r="E715" s="40"/>
      <c r="F715" s="40"/>
      <c r="G715" s="40"/>
    </row>
    <row r="716" spans="1:7">
      <c r="A716" s="39"/>
      <c r="B716" s="39"/>
      <c r="C716" s="39"/>
      <c r="D716" s="39"/>
      <c r="E716" s="39"/>
      <c r="F716" s="39"/>
      <c r="G716" s="39"/>
    </row>
    <row r="717" spans="1:7">
      <c r="A717" s="40"/>
      <c r="B717" s="40"/>
      <c r="C717" s="40"/>
      <c r="D717" s="40"/>
      <c r="E717" s="40"/>
      <c r="F717" s="40"/>
      <c r="G717" s="40"/>
    </row>
    <row r="718" spans="1:7">
      <c r="A718" s="39"/>
      <c r="B718" s="39"/>
      <c r="C718" s="39"/>
      <c r="D718" s="39"/>
      <c r="E718" s="39"/>
      <c r="F718" s="39"/>
      <c r="G718" s="39"/>
    </row>
    <row r="719" spans="1:7">
      <c r="A719" s="40"/>
      <c r="B719" s="40"/>
      <c r="C719" s="40"/>
      <c r="D719" s="40"/>
      <c r="E719" s="40"/>
      <c r="F719" s="40"/>
      <c r="G719" s="40"/>
    </row>
    <row r="720" spans="1:7">
      <c r="A720" s="39"/>
      <c r="B720" s="39"/>
      <c r="C720" s="39"/>
      <c r="D720" s="39"/>
      <c r="E720" s="39"/>
      <c r="F720" s="39"/>
      <c r="G720" s="39"/>
    </row>
    <row r="721" spans="1:7">
      <c r="A721" s="40"/>
      <c r="B721" s="40"/>
      <c r="C721" s="40"/>
      <c r="D721" s="40"/>
      <c r="E721" s="40"/>
      <c r="F721" s="40"/>
      <c r="G721" s="40"/>
    </row>
    <row r="722" spans="1:7">
      <c r="A722" s="39"/>
      <c r="B722" s="39"/>
      <c r="C722" s="39"/>
      <c r="D722" s="39"/>
      <c r="E722" s="39"/>
      <c r="F722" s="39"/>
      <c r="G722" s="39"/>
    </row>
    <row r="723" spans="1:7">
      <c r="A723" s="40"/>
      <c r="B723" s="40"/>
      <c r="C723" s="40"/>
      <c r="D723" s="40"/>
      <c r="E723" s="40"/>
      <c r="F723" s="40"/>
      <c r="G723" s="40"/>
    </row>
    <row r="724" spans="1:7">
      <c r="A724" s="39"/>
      <c r="B724" s="39"/>
      <c r="C724" s="39"/>
      <c r="D724" s="39"/>
      <c r="E724" s="39"/>
      <c r="F724" s="39"/>
      <c r="G724" s="39"/>
    </row>
    <row r="725" spans="1:7">
      <c r="A725" s="40"/>
      <c r="B725" s="40"/>
      <c r="C725" s="40"/>
      <c r="D725" s="40"/>
      <c r="E725" s="40"/>
      <c r="F725" s="40"/>
      <c r="G725" s="40"/>
    </row>
    <row r="726" spans="1:7">
      <c r="A726" s="39"/>
      <c r="B726" s="39"/>
      <c r="C726" s="39"/>
      <c r="D726" s="39"/>
      <c r="E726" s="39"/>
      <c r="F726" s="39"/>
      <c r="G726" s="39"/>
    </row>
    <row r="727" spans="1:7">
      <c r="A727" s="40"/>
      <c r="B727" s="40"/>
      <c r="C727" s="40"/>
      <c r="D727" s="40"/>
      <c r="E727" s="40"/>
      <c r="F727" s="40"/>
      <c r="G727" s="40"/>
    </row>
    <row r="728" spans="1:7">
      <c r="A728" s="39"/>
      <c r="B728" s="39"/>
      <c r="C728" s="39"/>
      <c r="D728" s="39"/>
      <c r="E728" s="39"/>
      <c r="F728" s="39"/>
      <c r="G728" s="39"/>
    </row>
    <row r="729" spans="1:7">
      <c r="A729" s="40"/>
      <c r="B729" s="40"/>
      <c r="C729" s="40"/>
      <c r="D729" s="40"/>
      <c r="E729" s="40"/>
      <c r="F729" s="40"/>
      <c r="G729" s="40"/>
    </row>
    <row r="730" spans="1:7">
      <c r="A730" s="39"/>
      <c r="B730" s="39"/>
      <c r="C730" s="39"/>
      <c r="D730" s="39"/>
      <c r="E730" s="39"/>
      <c r="F730" s="39"/>
      <c r="G730" s="39"/>
    </row>
    <row r="731" spans="1:7">
      <c r="A731" s="40"/>
      <c r="B731" s="40"/>
      <c r="C731" s="40"/>
      <c r="D731" s="40"/>
      <c r="E731" s="40"/>
      <c r="F731" s="40"/>
      <c r="G731" s="40"/>
    </row>
    <row r="732" spans="1:7">
      <c r="A732" s="39"/>
      <c r="B732" s="39"/>
      <c r="C732" s="39"/>
      <c r="D732" s="39"/>
      <c r="E732" s="39"/>
      <c r="F732" s="39"/>
      <c r="G732" s="39"/>
    </row>
    <row r="733" spans="1:7">
      <c r="A733" s="40"/>
      <c r="B733" s="40"/>
      <c r="C733" s="40"/>
      <c r="D733" s="40"/>
      <c r="E733" s="40"/>
      <c r="F733" s="40"/>
      <c r="G733" s="40"/>
    </row>
    <row r="734" spans="1:7">
      <c r="A734" s="39"/>
      <c r="B734" s="39"/>
      <c r="C734" s="39"/>
      <c r="D734" s="39"/>
      <c r="E734" s="39"/>
      <c r="F734" s="39"/>
      <c r="G734" s="39"/>
    </row>
    <row r="735" spans="1:7">
      <c r="A735" s="40"/>
      <c r="B735" s="40"/>
      <c r="C735" s="40"/>
      <c r="D735" s="40"/>
      <c r="E735" s="40"/>
      <c r="F735" s="40"/>
      <c r="G735" s="40"/>
    </row>
    <row r="736" spans="1:7">
      <c r="A736" s="39"/>
      <c r="B736" s="39"/>
      <c r="C736" s="39"/>
      <c r="D736" s="39"/>
      <c r="E736" s="39"/>
      <c r="F736" s="39"/>
      <c r="G736" s="39"/>
    </row>
    <row r="737" spans="1:7">
      <c r="A737" s="40"/>
      <c r="B737" s="40"/>
      <c r="C737" s="40"/>
      <c r="D737" s="40"/>
      <c r="E737" s="40"/>
      <c r="F737" s="40"/>
      <c r="G737" s="40"/>
    </row>
    <row r="738" spans="1:7">
      <c r="A738" s="39"/>
      <c r="B738" s="39"/>
      <c r="C738" s="39"/>
      <c r="D738" s="39"/>
      <c r="E738" s="39"/>
      <c r="F738" s="39"/>
      <c r="G738" s="39"/>
    </row>
    <row r="739" spans="1:7">
      <c r="A739" s="40"/>
      <c r="B739" s="40"/>
      <c r="C739" s="40"/>
      <c r="D739" s="40"/>
      <c r="E739" s="40"/>
      <c r="F739" s="40"/>
      <c r="G739" s="40"/>
    </row>
    <row r="740" spans="1:7">
      <c r="A740" s="39"/>
      <c r="B740" s="39"/>
      <c r="C740" s="39"/>
      <c r="D740" s="39"/>
      <c r="E740" s="39"/>
      <c r="F740" s="39"/>
      <c r="G740" s="39"/>
    </row>
    <row r="741" spans="1:7">
      <c r="A741" s="40"/>
      <c r="B741" s="40"/>
      <c r="C741" s="40"/>
      <c r="D741" s="40"/>
      <c r="E741" s="40"/>
      <c r="F741" s="40"/>
      <c r="G741" s="40"/>
    </row>
    <row r="742" spans="1:7">
      <c r="A742" s="39"/>
      <c r="B742" s="39"/>
      <c r="C742" s="39"/>
      <c r="D742" s="39"/>
      <c r="E742" s="39"/>
      <c r="F742" s="39"/>
      <c r="G742" s="39"/>
    </row>
    <row r="743" spans="1:7">
      <c r="A743" s="40"/>
      <c r="B743" s="40"/>
      <c r="C743" s="40"/>
      <c r="D743" s="40"/>
      <c r="E743" s="40"/>
      <c r="F743" s="40"/>
      <c r="G743" s="40"/>
    </row>
    <row r="744" spans="1:7">
      <c r="A744" s="39"/>
      <c r="B744" s="39"/>
      <c r="C744" s="39"/>
      <c r="D744" s="39"/>
      <c r="E744" s="39"/>
      <c r="F744" s="39"/>
      <c r="G744" s="39"/>
    </row>
    <row r="745" spans="1:7">
      <c r="A745" s="40"/>
      <c r="B745" s="40"/>
      <c r="C745" s="40"/>
      <c r="D745" s="40"/>
      <c r="E745" s="40"/>
      <c r="F745" s="40"/>
      <c r="G745" s="40"/>
    </row>
    <row r="746" spans="1:7">
      <c r="A746" s="39"/>
      <c r="B746" s="39"/>
      <c r="C746" s="39"/>
      <c r="D746" s="39"/>
      <c r="E746" s="39"/>
      <c r="F746" s="39"/>
      <c r="G746" s="39"/>
    </row>
    <row r="747" spans="1:7">
      <c r="A747" s="40"/>
      <c r="B747" s="40"/>
      <c r="C747" s="40"/>
      <c r="D747" s="40"/>
      <c r="E747" s="40"/>
      <c r="F747" s="40"/>
      <c r="G747" s="40"/>
    </row>
    <row r="748" spans="1:7">
      <c r="A748" s="39"/>
      <c r="B748" s="39"/>
      <c r="C748" s="39"/>
      <c r="D748" s="39"/>
      <c r="E748" s="39"/>
      <c r="F748" s="39"/>
      <c r="G748" s="39"/>
    </row>
    <row r="749" spans="1:7">
      <c r="A749" s="40"/>
      <c r="B749" s="40"/>
      <c r="C749" s="40"/>
      <c r="D749" s="40"/>
      <c r="E749" s="40"/>
      <c r="F749" s="40"/>
      <c r="G749" s="40"/>
    </row>
    <row r="750" spans="1:7">
      <c r="A750" s="39"/>
      <c r="B750" s="39"/>
      <c r="C750" s="39"/>
      <c r="D750" s="39"/>
      <c r="E750" s="39"/>
      <c r="F750" s="39"/>
      <c r="G750" s="39"/>
    </row>
    <row r="751" spans="1:7">
      <c r="A751" s="40"/>
      <c r="B751" s="40"/>
      <c r="C751" s="40"/>
      <c r="D751" s="40"/>
      <c r="E751" s="40"/>
      <c r="F751" s="40"/>
      <c r="G751" s="40"/>
    </row>
    <row r="752" spans="1:7">
      <c r="A752" s="39"/>
      <c r="B752" s="39"/>
      <c r="C752" s="39"/>
      <c r="D752" s="39"/>
      <c r="E752" s="39"/>
      <c r="F752" s="39"/>
      <c r="G752" s="39"/>
    </row>
    <row r="753" spans="1:7">
      <c r="A753" s="40"/>
      <c r="B753" s="40"/>
      <c r="C753" s="40"/>
      <c r="D753" s="40"/>
      <c r="E753" s="40"/>
      <c r="F753" s="40"/>
      <c r="G753" s="40"/>
    </row>
    <row r="754" spans="1:7">
      <c r="A754" s="39"/>
      <c r="B754" s="39"/>
      <c r="C754" s="39"/>
      <c r="D754" s="39"/>
      <c r="E754" s="39"/>
      <c r="F754" s="39"/>
      <c r="G754" s="39"/>
    </row>
    <row r="755" spans="1:7">
      <c r="A755" s="40"/>
      <c r="B755" s="40"/>
      <c r="C755" s="40"/>
      <c r="D755" s="40"/>
      <c r="E755" s="40"/>
      <c r="F755" s="40"/>
      <c r="G755" s="40"/>
    </row>
    <row r="756" spans="1:7">
      <c r="A756" s="39"/>
      <c r="B756" s="39"/>
      <c r="C756" s="39"/>
      <c r="D756" s="39"/>
      <c r="E756" s="39"/>
      <c r="F756" s="39"/>
      <c r="G756" s="39"/>
    </row>
    <row r="757" spans="1:7">
      <c r="A757" s="40"/>
      <c r="B757" s="40"/>
      <c r="C757" s="40"/>
      <c r="D757" s="40"/>
      <c r="E757" s="40"/>
      <c r="F757" s="40"/>
      <c r="G757" s="40"/>
    </row>
    <row r="758" spans="1:7">
      <c r="A758" s="39"/>
      <c r="B758" s="39"/>
      <c r="C758" s="39"/>
      <c r="D758" s="39"/>
      <c r="E758" s="39"/>
      <c r="F758" s="39"/>
      <c r="G758" s="39"/>
    </row>
    <row r="759" spans="1:7">
      <c r="A759" s="40"/>
      <c r="B759" s="40"/>
      <c r="C759" s="40"/>
      <c r="D759" s="40"/>
      <c r="E759" s="40"/>
      <c r="F759" s="40"/>
      <c r="G759" s="40"/>
    </row>
    <row r="760" spans="1:7">
      <c r="A760" s="39"/>
      <c r="B760" s="39"/>
      <c r="C760" s="39"/>
      <c r="D760" s="39"/>
      <c r="E760" s="39"/>
      <c r="F760" s="39"/>
      <c r="G760" s="39"/>
    </row>
    <row r="761" spans="1:7">
      <c r="A761" s="40"/>
      <c r="B761" s="40"/>
      <c r="C761" s="40"/>
      <c r="D761" s="40"/>
      <c r="E761" s="40"/>
      <c r="F761" s="40"/>
      <c r="G761" s="40"/>
    </row>
    <row r="762" spans="1:7">
      <c r="A762" s="39"/>
      <c r="B762" s="39"/>
      <c r="C762" s="39"/>
      <c r="D762" s="39"/>
      <c r="E762" s="39"/>
      <c r="F762" s="39"/>
      <c r="G762" s="39"/>
    </row>
    <row r="763" spans="1:7">
      <c r="A763" s="40"/>
      <c r="B763" s="40"/>
      <c r="C763" s="40"/>
      <c r="D763" s="40"/>
      <c r="E763" s="40"/>
      <c r="F763" s="40"/>
      <c r="G763" s="40"/>
    </row>
    <row r="764" spans="1:7">
      <c r="A764" s="39"/>
      <c r="B764" s="39"/>
      <c r="C764" s="39"/>
      <c r="D764" s="39"/>
      <c r="E764" s="39"/>
      <c r="F764" s="39"/>
      <c r="G764" s="39"/>
    </row>
    <row r="765" spans="1:7">
      <c r="A765" s="40"/>
      <c r="B765" s="40"/>
      <c r="C765" s="40"/>
      <c r="D765" s="40"/>
      <c r="E765" s="40"/>
      <c r="F765" s="40"/>
      <c r="G765" s="40"/>
    </row>
    <row r="766" spans="1:7">
      <c r="A766" s="39"/>
      <c r="B766" s="39"/>
      <c r="C766" s="39"/>
      <c r="D766" s="39"/>
      <c r="E766" s="39"/>
      <c r="F766" s="39"/>
      <c r="G766" s="39"/>
    </row>
    <row r="767" spans="1:7">
      <c r="A767" s="40"/>
      <c r="B767" s="40"/>
      <c r="C767" s="40"/>
      <c r="D767" s="40"/>
      <c r="E767" s="40"/>
      <c r="F767" s="40"/>
      <c r="G767" s="40"/>
    </row>
    <row r="768" spans="1:7">
      <c r="A768" s="39"/>
      <c r="B768" s="39"/>
      <c r="C768" s="39"/>
      <c r="D768" s="39"/>
      <c r="E768" s="39"/>
      <c r="F768" s="39"/>
      <c r="G768" s="39"/>
    </row>
    <row r="769" spans="1:7">
      <c r="A769" s="40"/>
      <c r="B769" s="40"/>
      <c r="C769" s="40"/>
      <c r="D769" s="40"/>
      <c r="E769" s="40"/>
      <c r="F769" s="40"/>
      <c r="G769" s="40"/>
    </row>
    <row r="770" spans="1:7">
      <c r="A770" s="39"/>
      <c r="B770" s="39"/>
      <c r="C770" s="39"/>
      <c r="D770" s="39"/>
      <c r="E770" s="39"/>
      <c r="F770" s="39"/>
      <c r="G770" s="39"/>
    </row>
    <row r="771" spans="1:7">
      <c r="A771" s="40"/>
      <c r="B771" s="40"/>
      <c r="C771" s="40"/>
      <c r="D771" s="40"/>
      <c r="E771" s="40"/>
      <c r="F771" s="40"/>
      <c r="G771" s="40"/>
    </row>
    <row r="772" spans="1:7">
      <c r="A772" s="39"/>
      <c r="B772" s="39"/>
      <c r="C772" s="39"/>
      <c r="D772" s="39"/>
      <c r="E772" s="39"/>
      <c r="F772" s="39"/>
      <c r="G772" s="39"/>
    </row>
    <row r="773" spans="1:7">
      <c r="A773" s="40"/>
      <c r="B773" s="40"/>
      <c r="C773" s="40"/>
      <c r="D773" s="40"/>
      <c r="E773" s="40"/>
      <c r="F773" s="40"/>
      <c r="G773" s="40"/>
    </row>
    <row r="774" spans="1:7">
      <c r="A774" s="39"/>
      <c r="B774" s="39"/>
      <c r="C774" s="39"/>
      <c r="D774" s="39"/>
      <c r="E774" s="39"/>
      <c r="F774" s="39"/>
      <c r="G774" s="39"/>
    </row>
    <row r="775" spans="1:7">
      <c r="A775" s="40"/>
      <c r="B775" s="40"/>
      <c r="C775" s="40"/>
      <c r="D775" s="40"/>
      <c r="E775" s="40"/>
      <c r="F775" s="40"/>
      <c r="G775" s="40"/>
    </row>
    <row r="776" spans="1:7">
      <c r="A776" s="39"/>
      <c r="B776" s="39"/>
      <c r="C776" s="39"/>
      <c r="D776" s="39"/>
      <c r="E776" s="39"/>
      <c r="F776" s="39"/>
      <c r="G776" s="39"/>
    </row>
    <row r="777" spans="1:7">
      <c r="A777" s="40"/>
      <c r="B777" s="40"/>
      <c r="C777" s="40"/>
      <c r="D777" s="40"/>
      <c r="E777" s="40"/>
      <c r="F777" s="40"/>
      <c r="G777" s="40"/>
    </row>
    <row r="778" spans="1:7">
      <c r="A778" s="39"/>
      <c r="B778" s="39"/>
      <c r="C778" s="39"/>
      <c r="D778" s="39"/>
      <c r="E778" s="39"/>
      <c r="F778" s="39"/>
      <c r="G778" s="39"/>
    </row>
    <row r="779" spans="1:7">
      <c r="A779" s="40"/>
      <c r="B779" s="40"/>
      <c r="C779" s="40"/>
      <c r="D779" s="40"/>
      <c r="E779" s="40"/>
      <c r="F779" s="40"/>
      <c r="G779" s="40"/>
    </row>
    <row r="780" spans="1:7">
      <c r="A780" s="39"/>
      <c r="B780" s="39"/>
      <c r="C780" s="39"/>
      <c r="D780" s="39"/>
      <c r="E780" s="39"/>
      <c r="F780" s="39"/>
      <c r="G780" s="39"/>
    </row>
    <row r="781" spans="1:7">
      <c r="A781" s="40"/>
      <c r="B781" s="40"/>
      <c r="C781" s="40"/>
      <c r="D781" s="40"/>
      <c r="E781" s="40"/>
      <c r="F781" s="40"/>
      <c r="G781" s="40"/>
    </row>
    <row r="782" spans="1:7">
      <c r="A782" s="39"/>
      <c r="B782" s="39"/>
      <c r="C782" s="39"/>
      <c r="D782" s="39"/>
      <c r="E782" s="39"/>
      <c r="F782" s="39"/>
      <c r="G782" s="39"/>
    </row>
    <row r="783" spans="1:7">
      <c r="A783" s="40"/>
      <c r="B783" s="40"/>
      <c r="C783" s="40"/>
      <c r="D783" s="40"/>
      <c r="E783" s="40"/>
      <c r="F783" s="40"/>
      <c r="G783" s="40"/>
    </row>
    <row r="784" spans="1:7">
      <c r="A784" s="39"/>
      <c r="B784" s="39"/>
      <c r="C784" s="39"/>
      <c r="D784" s="39"/>
      <c r="E784" s="39"/>
      <c r="F784" s="39"/>
      <c r="G784" s="39"/>
    </row>
    <row r="785" spans="1:7">
      <c r="A785" s="40"/>
      <c r="B785" s="40"/>
      <c r="C785" s="40"/>
      <c r="D785" s="40"/>
      <c r="E785" s="40"/>
      <c r="F785" s="40"/>
      <c r="G785" s="40"/>
    </row>
    <row r="786" spans="1:7">
      <c r="A786" s="39"/>
      <c r="B786" s="39"/>
      <c r="C786" s="39"/>
      <c r="D786" s="39"/>
      <c r="E786" s="39"/>
      <c r="F786" s="39"/>
      <c r="G786" s="39"/>
    </row>
    <row r="787" spans="1:7">
      <c r="A787" s="40"/>
      <c r="B787" s="40"/>
      <c r="C787" s="40"/>
      <c r="D787" s="40"/>
      <c r="E787" s="40"/>
      <c r="F787" s="40"/>
      <c r="G787" s="40"/>
    </row>
    <row r="788" spans="1:7">
      <c r="A788" s="39"/>
      <c r="B788" s="39"/>
      <c r="C788" s="39"/>
      <c r="D788" s="39"/>
      <c r="E788" s="39"/>
      <c r="F788" s="39"/>
      <c r="G788" s="39"/>
    </row>
    <row r="789" spans="1:7">
      <c r="A789" s="40"/>
      <c r="B789" s="40"/>
      <c r="C789" s="40"/>
      <c r="D789" s="40"/>
      <c r="E789" s="40"/>
      <c r="F789" s="40"/>
      <c r="G789" s="40"/>
    </row>
    <row r="790" spans="1:7">
      <c r="A790" s="39"/>
      <c r="B790" s="39"/>
      <c r="C790" s="39"/>
      <c r="D790" s="39"/>
      <c r="E790" s="39"/>
      <c r="F790" s="39"/>
      <c r="G790" s="39"/>
    </row>
    <row r="791" spans="1:7">
      <c r="A791" s="40"/>
      <c r="B791" s="40"/>
      <c r="C791" s="40"/>
      <c r="D791" s="40"/>
      <c r="E791" s="40"/>
      <c r="F791" s="40"/>
      <c r="G791" s="40"/>
    </row>
    <row r="792" spans="1:7">
      <c r="A792" s="39"/>
      <c r="B792" s="39"/>
      <c r="C792" s="39"/>
      <c r="D792" s="39"/>
      <c r="E792" s="39"/>
      <c r="F792" s="39"/>
      <c r="G792" s="39"/>
    </row>
    <row r="793" spans="1:7">
      <c r="A793" s="40"/>
      <c r="B793" s="40"/>
      <c r="C793" s="40"/>
      <c r="D793" s="40"/>
      <c r="E793" s="40"/>
      <c r="F793" s="40"/>
      <c r="G793" s="40"/>
    </row>
    <row r="794" spans="1:7">
      <c r="A794" s="39"/>
      <c r="B794" s="39"/>
      <c r="C794" s="39"/>
      <c r="D794" s="39"/>
      <c r="E794" s="39"/>
      <c r="F794" s="39"/>
      <c r="G794" s="39"/>
    </row>
    <row r="795" spans="1:7">
      <c r="A795" s="40"/>
      <c r="B795" s="40"/>
      <c r="C795" s="40"/>
      <c r="D795" s="40"/>
      <c r="E795" s="40"/>
      <c r="F795" s="40"/>
      <c r="G795" s="40"/>
    </row>
    <row r="796" spans="1:7">
      <c r="A796" s="39"/>
      <c r="B796" s="39"/>
      <c r="C796" s="39"/>
      <c r="D796" s="39"/>
      <c r="E796" s="39"/>
      <c r="F796" s="39"/>
      <c r="G796" s="39"/>
    </row>
    <row r="797" spans="1:7">
      <c r="A797" s="40"/>
      <c r="B797" s="40"/>
      <c r="C797" s="40"/>
      <c r="D797" s="40"/>
      <c r="E797" s="40"/>
      <c r="F797" s="40"/>
      <c r="G797" s="40"/>
    </row>
    <row r="798" spans="1:7">
      <c r="A798" s="39"/>
      <c r="B798" s="39"/>
      <c r="C798" s="39"/>
      <c r="D798" s="39"/>
      <c r="E798" s="39"/>
      <c r="F798" s="39"/>
      <c r="G798" s="39"/>
    </row>
    <row r="799" spans="1:7">
      <c r="A799" s="40"/>
      <c r="B799" s="40"/>
      <c r="C799" s="40"/>
      <c r="D799" s="40"/>
      <c r="E799" s="40"/>
      <c r="F799" s="40"/>
      <c r="G799" s="40"/>
    </row>
    <row r="800" spans="1:7">
      <c r="A800" s="39"/>
      <c r="B800" s="39"/>
      <c r="C800" s="39"/>
      <c r="D800" s="39"/>
      <c r="E800" s="39"/>
      <c r="F800" s="39"/>
      <c r="G800" s="39"/>
    </row>
    <row r="801" spans="1:7">
      <c r="A801" s="40"/>
      <c r="B801" s="40"/>
      <c r="C801" s="40"/>
      <c r="D801" s="40"/>
      <c r="E801" s="40"/>
      <c r="F801" s="40"/>
      <c r="G801" s="40"/>
    </row>
    <row r="802" spans="1:7">
      <c r="A802" s="39"/>
      <c r="B802" s="39"/>
      <c r="C802" s="39"/>
      <c r="D802" s="39"/>
      <c r="E802" s="39"/>
      <c r="F802" s="39"/>
      <c r="G802" s="39"/>
    </row>
    <row r="803" spans="1:7">
      <c r="A803" s="40"/>
      <c r="B803" s="40"/>
      <c r="C803" s="40"/>
      <c r="D803" s="40"/>
      <c r="E803" s="40"/>
      <c r="F803" s="40"/>
      <c r="G803" s="40"/>
    </row>
    <row r="804" spans="1:7">
      <c r="A804" s="39"/>
      <c r="B804" s="39"/>
      <c r="C804" s="39"/>
      <c r="D804" s="39"/>
      <c r="E804" s="39"/>
      <c r="F804" s="39"/>
      <c r="G804" s="39"/>
    </row>
    <row r="805" spans="1:7">
      <c r="A805" s="40"/>
      <c r="B805" s="40"/>
      <c r="C805" s="40"/>
      <c r="D805" s="40"/>
      <c r="E805" s="40"/>
      <c r="F805" s="40"/>
      <c r="G805" s="40"/>
    </row>
    <row r="806" spans="1:7">
      <c r="A806" s="39"/>
      <c r="B806" s="39"/>
      <c r="C806" s="39"/>
      <c r="D806" s="39"/>
      <c r="E806" s="39"/>
      <c r="F806" s="39"/>
      <c r="G806" s="39"/>
    </row>
    <row r="807" spans="1:7">
      <c r="A807" s="40"/>
      <c r="B807" s="40"/>
      <c r="C807" s="40"/>
      <c r="D807" s="40"/>
      <c r="E807" s="40"/>
      <c r="F807" s="40"/>
      <c r="G807" s="40"/>
    </row>
    <row r="808" spans="1:7">
      <c r="A808" s="39"/>
      <c r="B808" s="39"/>
      <c r="C808" s="39"/>
      <c r="D808" s="39"/>
      <c r="E808" s="39"/>
      <c r="F808" s="39"/>
      <c r="G808" s="39"/>
    </row>
    <row r="809" spans="1:7">
      <c r="A809" s="40"/>
      <c r="B809" s="40"/>
      <c r="C809" s="40"/>
      <c r="D809" s="40"/>
      <c r="E809" s="40"/>
      <c r="F809" s="40"/>
      <c r="G809" s="40"/>
    </row>
    <row r="810" spans="1:7">
      <c r="A810" s="39"/>
      <c r="B810" s="39"/>
      <c r="C810" s="39"/>
      <c r="D810" s="39"/>
      <c r="E810" s="39"/>
      <c r="F810" s="39"/>
      <c r="G810" s="39"/>
    </row>
    <row r="811" spans="1:7">
      <c r="A811" s="40"/>
      <c r="B811" s="40"/>
      <c r="C811" s="40"/>
      <c r="D811" s="40"/>
      <c r="E811" s="40"/>
      <c r="F811" s="40"/>
      <c r="G811" s="40"/>
    </row>
    <row r="812" spans="1:7">
      <c r="A812" s="39"/>
      <c r="B812" s="39"/>
      <c r="C812" s="39"/>
      <c r="D812" s="39"/>
      <c r="E812" s="39"/>
      <c r="F812" s="39"/>
      <c r="G812" s="39"/>
    </row>
    <row r="813" spans="1:7">
      <c r="A813" s="40"/>
      <c r="B813" s="40"/>
      <c r="C813" s="40"/>
      <c r="D813" s="40"/>
      <c r="E813" s="40"/>
      <c r="F813" s="40"/>
      <c r="G813" s="40"/>
    </row>
    <row r="814" spans="1:7">
      <c r="A814" s="39"/>
      <c r="B814" s="39"/>
      <c r="C814" s="39"/>
      <c r="D814" s="39"/>
      <c r="E814" s="39"/>
      <c r="F814" s="39"/>
      <c r="G814" s="39"/>
    </row>
    <row r="815" spans="1:7">
      <c r="A815" s="40"/>
      <c r="B815" s="40"/>
      <c r="C815" s="40"/>
      <c r="D815" s="40"/>
      <c r="E815" s="40"/>
      <c r="F815" s="40"/>
      <c r="G815" s="40"/>
    </row>
    <row r="816" spans="1:7">
      <c r="A816" s="39"/>
      <c r="B816" s="39"/>
      <c r="C816" s="39"/>
      <c r="D816" s="39"/>
      <c r="E816" s="39"/>
      <c r="F816" s="39"/>
      <c r="G816" s="39"/>
    </row>
    <row r="817" spans="1:7">
      <c r="A817" s="40"/>
      <c r="B817" s="40"/>
      <c r="C817" s="40"/>
      <c r="D817" s="40"/>
      <c r="E817" s="40"/>
      <c r="F817" s="40"/>
      <c r="G817" s="40"/>
    </row>
    <row r="818" spans="1:7">
      <c r="A818" s="39"/>
      <c r="B818" s="39"/>
      <c r="C818" s="39"/>
      <c r="D818" s="39"/>
      <c r="E818" s="39"/>
      <c r="F818" s="39"/>
      <c r="G818" s="39"/>
    </row>
    <row r="819" spans="1:7">
      <c r="A819" s="40"/>
      <c r="B819" s="40"/>
      <c r="C819" s="40"/>
      <c r="D819" s="40"/>
      <c r="E819" s="40"/>
      <c r="F819" s="40"/>
      <c r="G819" s="40"/>
    </row>
    <row r="820" spans="1:7">
      <c r="A820" s="39"/>
      <c r="B820" s="39"/>
      <c r="C820" s="39"/>
      <c r="D820" s="39"/>
      <c r="E820" s="39"/>
      <c r="F820" s="39"/>
      <c r="G820" s="39"/>
    </row>
    <row r="821" spans="1:7">
      <c r="A821" s="40"/>
      <c r="B821" s="40"/>
      <c r="C821" s="40"/>
      <c r="D821" s="40"/>
      <c r="E821" s="40"/>
      <c r="F821" s="40"/>
      <c r="G821" s="40"/>
    </row>
    <row r="822" spans="1:7">
      <c r="A822" s="39"/>
      <c r="B822" s="39"/>
      <c r="C822" s="39"/>
      <c r="D822" s="39"/>
      <c r="E822" s="39"/>
      <c r="F822" s="39"/>
      <c r="G822" s="39"/>
    </row>
    <row r="823" spans="1:7">
      <c r="A823" s="40"/>
      <c r="B823" s="40"/>
      <c r="C823" s="40"/>
      <c r="D823" s="40"/>
      <c r="E823" s="40"/>
      <c r="F823" s="40"/>
      <c r="G823" s="40"/>
    </row>
    <row r="824" spans="1:7">
      <c r="A824" s="39"/>
      <c r="B824" s="39"/>
      <c r="C824" s="39"/>
      <c r="D824" s="39"/>
      <c r="E824" s="39"/>
      <c r="F824" s="39"/>
      <c r="G824" s="39"/>
    </row>
    <row r="825" spans="1:7">
      <c r="A825" s="40"/>
      <c r="B825" s="40"/>
      <c r="C825" s="40"/>
      <c r="D825" s="40"/>
      <c r="E825" s="40"/>
      <c r="F825" s="40"/>
      <c r="G825" s="40"/>
    </row>
    <row r="826" spans="1:7">
      <c r="A826" s="39"/>
      <c r="B826" s="39"/>
      <c r="C826" s="39"/>
      <c r="D826" s="39"/>
      <c r="E826" s="39"/>
      <c r="F826" s="39"/>
      <c r="G826" s="39"/>
    </row>
    <row r="827" spans="1:7">
      <c r="A827" s="40"/>
      <c r="B827" s="40"/>
      <c r="C827" s="40"/>
      <c r="D827" s="40"/>
      <c r="E827" s="40"/>
      <c r="F827" s="40"/>
      <c r="G827" s="40"/>
    </row>
    <row r="828" spans="1:7">
      <c r="A828" s="39"/>
      <c r="B828" s="39"/>
      <c r="C828" s="39"/>
      <c r="D828" s="39"/>
      <c r="E828" s="39"/>
      <c r="F828" s="39"/>
      <c r="G828" s="39"/>
    </row>
    <row r="829" spans="1:7">
      <c r="A829" s="40"/>
      <c r="B829" s="40"/>
      <c r="C829" s="40"/>
      <c r="D829" s="40"/>
      <c r="E829" s="40"/>
      <c r="F829" s="40"/>
      <c r="G829" s="40"/>
    </row>
    <row r="830" spans="1:7">
      <c r="A830" s="39"/>
      <c r="B830" s="39"/>
      <c r="C830" s="39"/>
      <c r="D830" s="39"/>
      <c r="E830" s="39"/>
      <c r="F830" s="39"/>
      <c r="G830" s="39"/>
    </row>
    <row r="831" spans="1:7">
      <c r="A831" s="40"/>
      <c r="B831" s="40"/>
      <c r="C831" s="40"/>
      <c r="D831" s="40"/>
      <c r="E831" s="40"/>
      <c r="F831" s="40"/>
      <c r="G831" s="40"/>
    </row>
    <row r="832" spans="1:7">
      <c r="A832" s="39"/>
      <c r="B832" s="39"/>
      <c r="C832" s="39"/>
      <c r="D832" s="39"/>
      <c r="E832" s="39"/>
      <c r="F832" s="39"/>
      <c r="G832" s="39"/>
    </row>
    <row r="833" spans="1:7">
      <c r="A833" s="40"/>
      <c r="B833" s="40"/>
      <c r="C833" s="40"/>
      <c r="D833" s="40"/>
      <c r="E833" s="40"/>
      <c r="F833" s="40"/>
      <c r="G833" s="40"/>
    </row>
    <row r="834" spans="1:7">
      <c r="A834" s="39"/>
      <c r="B834" s="39"/>
      <c r="C834" s="39"/>
      <c r="D834" s="39"/>
      <c r="E834" s="39"/>
      <c r="F834" s="39"/>
      <c r="G834" s="39"/>
    </row>
    <row r="835" spans="1:7">
      <c r="A835" s="40"/>
      <c r="B835" s="40"/>
      <c r="C835" s="40"/>
      <c r="D835" s="40"/>
      <c r="E835" s="40"/>
      <c r="F835" s="40"/>
      <c r="G835" s="40"/>
    </row>
    <row r="836" spans="1:7">
      <c r="A836" s="39"/>
      <c r="B836" s="39"/>
      <c r="C836" s="39"/>
      <c r="D836" s="39"/>
      <c r="E836" s="39"/>
      <c r="F836" s="39"/>
      <c r="G836" s="39"/>
    </row>
    <row r="837" spans="1:7">
      <c r="A837" s="40"/>
      <c r="B837" s="40"/>
      <c r="C837" s="40"/>
      <c r="D837" s="40"/>
      <c r="E837" s="40"/>
      <c r="F837" s="40"/>
      <c r="G837" s="40"/>
    </row>
    <row r="838" spans="1:7">
      <c r="A838" s="39"/>
      <c r="B838" s="39"/>
      <c r="C838" s="39"/>
      <c r="D838" s="39"/>
      <c r="E838" s="39"/>
      <c r="F838" s="39"/>
      <c r="G838" s="39"/>
    </row>
    <row r="839" spans="1:7">
      <c r="A839" s="40"/>
      <c r="B839" s="40"/>
      <c r="C839" s="40"/>
      <c r="D839" s="40"/>
      <c r="E839" s="40"/>
      <c r="F839" s="40"/>
      <c r="G839" s="40"/>
    </row>
    <row r="840" spans="1:7">
      <c r="A840" s="39"/>
      <c r="B840" s="39"/>
      <c r="C840" s="39"/>
      <c r="D840" s="39"/>
      <c r="E840" s="39"/>
      <c r="F840" s="39"/>
      <c r="G840" s="39"/>
    </row>
    <row r="841" spans="1:7">
      <c r="A841" s="40"/>
      <c r="B841" s="40"/>
      <c r="C841" s="40"/>
      <c r="D841" s="40"/>
      <c r="E841" s="40"/>
      <c r="F841" s="40"/>
      <c r="G841" s="40"/>
    </row>
    <row r="842" spans="1:7">
      <c r="A842" s="39"/>
      <c r="B842" s="39"/>
      <c r="C842" s="39"/>
      <c r="D842" s="39"/>
      <c r="E842" s="39"/>
      <c r="F842" s="39"/>
      <c r="G842" s="39"/>
    </row>
    <row r="843" spans="1:7">
      <c r="A843" s="40"/>
      <c r="B843" s="40"/>
      <c r="C843" s="40"/>
      <c r="D843" s="40"/>
      <c r="E843" s="40"/>
      <c r="F843" s="40"/>
      <c r="G843" s="40"/>
    </row>
    <row r="844" spans="1:7">
      <c r="A844" s="39"/>
      <c r="B844" s="39"/>
      <c r="C844" s="39"/>
      <c r="D844" s="39"/>
      <c r="E844" s="39"/>
      <c r="F844" s="39"/>
      <c r="G844" s="39"/>
    </row>
    <row r="845" spans="1:7">
      <c r="A845" s="40"/>
      <c r="B845" s="40"/>
      <c r="C845" s="40"/>
      <c r="D845" s="40"/>
      <c r="E845" s="40"/>
      <c r="F845" s="40"/>
      <c r="G845" s="40"/>
    </row>
    <row r="846" spans="1:7">
      <c r="A846" s="39"/>
      <c r="B846" s="39"/>
      <c r="C846" s="39"/>
      <c r="D846" s="39"/>
      <c r="E846" s="39"/>
      <c r="F846" s="39"/>
      <c r="G846" s="39"/>
    </row>
    <row r="847" spans="1:7">
      <c r="A847" s="40"/>
      <c r="B847" s="40"/>
      <c r="C847" s="40"/>
      <c r="D847" s="40"/>
      <c r="E847" s="40"/>
      <c r="F847" s="40"/>
      <c r="G847" s="40"/>
    </row>
    <row r="848" spans="1:7">
      <c r="A848" s="39"/>
      <c r="B848" s="39"/>
      <c r="C848" s="39"/>
      <c r="D848" s="39"/>
      <c r="E848" s="39"/>
      <c r="F848" s="39"/>
      <c r="G848" s="39"/>
    </row>
    <row r="849" spans="1:7">
      <c r="A849" s="40"/>
      <c r="B849" s="40"/>
      <c r="C849" s="40"/>
      <c r="D849" s="40"/>
      <c r="E849" s="40"/>
      <c r="F849" s="40"/>
      <c r="G849" s="40"/>
    </row>
    <row r="850" spans="1:7">
      <c r="A850" s="39"/>
      <c r="B850" s="39"/>
      <c r="C850" s="39"/>
      <c r="D850" s="39"/>
      <c r="E850" s="39"/>
      <c r="F850" s="39"/>
      <c r="G850" s="39"/>
    </row>
    <row r="851" spans="1:7">
      <c r="A851" s="40"/>
      <c r="B851" s="40"/>
      <c r="C851" s="40"/>
      <c r="D851" s="40"/>
      <c r="E851" s="40"/>
      <c r="F851" s="40"/>
      <c r="G851" s="40"/>
    </row>
    <row r="852" spans="1:7">
      <c r="A852" s="39"/>
      <c r="B852" s="39"/>
      <c r="C852" s="39"/>
      <c r="D852" s="39"/>
      <c r="E852" s="39"/>
      <c r="F852" s="39"/>
      <c r="G852" s="39"/>
    </row>
    <row r="853" spans="1:7">
      <c r="A853" s="40"/>
      <c r="B853" s="40"/>
      <c r="C853" s="40"/>
      <c r="D853" s="40"/>
      <c r="E853" s="40"/>
      <c r="F853" s="40"/>
      <c r="G853" s="40"/>
    </row>
    <row r="854" spans="1:7">
      <c r="A854" s="39"/>
      <c r="B854" s="39"/>
      <c r="C854" s="39"/>
      <c r="D854" s="39"/>
      <c r="E854" s="39"/>
      <c r="F854" s="39"/>
      <c r="G854" s="39"/>
    </row>
    <row r="855" spans="1:7">
      <c r="A855" s="40"/>
      <c r="B855" s="40"/>
      <c r="C855" s="40"/>
      <c r="D855" s="40"/>
      <c r="E855" s="40"/>
      <c r="F855" s="40"/>
      <c r="G855" s="40"/>
    </row>
    <row r="856" spans="1:7">
      <c r="A856" s="39"/>
      <c r="B856" s="39"/>
      <c r="C856" s="39"/>
      <c r="D856" s="39"/>
      <c r="E856" s="39"/>
      <c r="F856" s="39"/>
      <c r="G856" s="39"/>
    </row>
    <row r="857" spans="1:7">
      <c r="A857" s="40"/>
      <c r="B857" s="40"/>
      <c r="C857" s="40"/>
      <c r="D857" s="40"/>
      <c r="E857" s="40"/>
      <c r="F857" s="40"/>
      <c r="G857" s="40"/>
    </row>
    <row r="858" spans="1:7">
      <c r="A858" s="39"/>
      <c r="B858" s="39"/>
      <c r="C858" s="39"/>
      <c r="D858" s="39"/>
      <c r="E858" s="39"/>
      <c r="F858" s="39"/>
      <c r="G858" s="39"/>
    </row>
    <row r="859" spans="1:7">
      <c r="A859" s="40"/>
      <c r="B859" s="40"/>
      <c r="C859" s="40"/>
      <c r="D859" s="40"/>
      <c r="E859" s="40"/>
      <c r="F859" s="40"/>
      <c r="G859" s="40"/>
    </row>
    <row r="860" spans="1:7">
      <c r="A860" s="39"/>
      <c r="B860" s="39"/>
      <c r="C860" s="39"/>
      <c r="D860" s="39"/>
      <c r="E860" s="39"/>
      <c r="F860" s="39"/>
      <c r="G860" s="39"/>
    </row>
    <row r="861" spans="1:7">
      <c r="A861" s="40"/>
      <c r="B861" s="40"/>
      <c r="C861" s="40"/>
      <c r="D861" s="40"/>
      <c r="E861" s="40"/>
      <c r="F861" s="40"/>
      <c r="G861" s="40"/>
    </row>
    <row r="862" spans="1:7">
      <c r="A862" s="39"/>
      <c r="B862" s="39"/>
      <c r="C862" s="39"/>
      <c r="D862" s="39"/>
      <c r="E862" s="39"/>
      <c r="F862" s="39"/>
      <c r="G862" s="39"/>
    </row>
    <row r="863" spans="1:7">
      <c r="A863" s="40"/>
      <c r="B863" s="40"/>
      <c r="C863" s="40"/>
      <c r="D863" s="40"/>
      <c r="E863" s="40"/>
      <c r="F863" s="40"/>
      <c r="G863" s="40"/>
    </row>
    <row r="864" spans="1:7">
      <c r="A864" s="39"/>
      <c r="B864" s="39"/>
      <c r="C864" s="39"/>
      <c r="D864" s="39"/>
      <c r="E864" s="39"/>
      <c r="F864" s="39"/>
      <c r="G864" s="39"/>
    </row>
    <row r="865" spans="1:7">
      <c r="A865" s="40"/>
      <c r="B865" s="40"/>
      <c r="C865" s="40"/>
      <c r="D865" s="40"/>
      <c r="E865" s="40"/>
      <c r="F865" s="40"/>
      <c r="G865" s="40"/>
    </row>
    <row r="866" spans="1:7">
      <c r="A866" s="39"/>
      <c r="B866" s="39"/>
      <c r="C866" s="39"/>
      <c r="D866" s="39"/>
      <c r="E866" s="39"/>
      <c r="F866" s="39"/>
      <c r="G866" s="39"/>
    </row>
    <row r="867" spans="1:7">
      <c r="A867" s="40"/>
      <c r="B867" s="40"/>
      <c r="C867" s="40"/>
      <c r="D867" s="40"/>
      <c r="E867" s="40"/>
      <c r="F867" s="40"/>
      <c r="G867" s="40"/>
    </row>
    <row r="868" spans="1:7">
      <c r="A868" s="39"/>
      <c r="B868" s="39"/>
      <c r="C868" s="39"/>
      <c r="D868" s="39"/>
      <c r="E868" s="39"/>
      <c r="F868" s="39"/>
      <c r="G868" s="39"/>
    </row>
    <row r="869" spans="1:7">
      <c r="A869" s="40"/>
      <c r="B869" s="40"/>
      <c r="C869" s="40"/>
      <c r="D869" s="40"/>
      <c r="E869" s="40"/>
      <c r="F869" s="40"/>
      <c r="G869" s="40"/>
    </row>
    <row r="870" spans="1:7">
      <c r="A870" s="39"/>
      <c r="B870" s="39"/>
      <c r="C870" s="39"/>
      <c r="D870" s="39"/>
      <c r="E870" s="39"/>
      <c r="F870" s="39"/>
      <c r="G870" s="39"/>
    </row>
    <row r="871" spans="1:7">
      <c r="A871" s="40"/>
      <c r="B871" s="40"/>
      <c r="C871" s="40"/>
      <c r="D871" s="40"/>
      <c r="E871" s="40"/>
      <c r="F871" s="40"/>
      <c r="G871" s="40"/>
    </row>
    <row r="872" spans="1:7">
      <c r="A872" s="39"/>
      <c r="B872" s="39"/>
      <c r="C872" s="39"/>
      <c r="D872" s="39"/>
      <c r="E872" s="39"/>
      <c r="F872" s="39"/>
      <c r="G872" s="39"/>
    </row>
    <row r="873" spans="1:7">
      <c r="A873" s="40"/>
      <c r="B873" s="40"/>
      <c r="C873" s="40"/>
      <c r="D873" s="40"/>
      <c r="E873" s="40"/>
      <c r="F873" s="40"/>
      <c r="G873" s="40"/>
    </row>
    <row r="874" spans="1:7">
      <c r="A874" s="39"/>
      <c r="B874" s="39"/>
      <c r="C874" s="39"/>
      <c r="D874" s="39"/>
      <c r="E874" s="39"/>
      <c r="F874" s="39"/>
      <c r="G874" s="39"/>
    </row>
    <row r="875" spans="1:7">
      <c r="A875" s="40"/>
      <c r="B875" s="40"/>
      <c r="C875" s="40"/>
      <c r="D875" s="40"/>
      <c r="E875" s="40"/>
      <c r="F875" s="40"/>
      <c r="G875" s="40"/>
    </row>
    <row r="876" spans="1:7">
      <c r="A876" s="39"/>
      <c r="B876" s="39"/>
      <c r="C876" s="39"/>
      <c r="D876" s="39"/>
      <c r="E876" s="39"/>
      <c r="F876" s="39"/>
      <c r="G876" s="39"/>
    </row>
    <row r="877" spans="1:7">
      <c r="A877" s="40"/>
      <c r="B877" s="40"/>
      <c r="C877" s="40"/>
      <c r="D877" s="40"/>
      <c r="E877" s="40"/>
      <c r="F877" s="40"/>
      <c r="G877" s="40"/>
    </row>
    <row r="878" spans="1:7">
      <c r="A878" s="39"/>
      <c r="B878" s="39"/>
      <c r="C878" s="39"/>
      <c r="D878" s="39"/>
      <c r="E878" s="39"/>
      <c r="F878" s="39"/>
      <c r="G878" s="39"/>
    </row>
    <row r="879" spans="1:7">
      <c r="A879" s="40"/>
      <c r="B879" s="40"/>
      <c r="C879" s="40"/>
      <c r="D879" s="40"/>
      <c r="E879" s="40"/>
      <c r="F879" s="40"/>
      <c r="G879" s="40"/>
    </row>
    <row r="880" spans="1:7">
      <c r="A880" s="39"/>
      <c r="B880" s="39"/>
      <c r="C880" s="39"/>
      <c r="D880" s="39"/>
      <c r="E880" s="39"/>
      <c r="F880" s="39"/>
      <c r="G880" s="39"/>
    </row>
    <row r="881" spans="1:7">
      <c r="A881" s="40"/>
      <c r="B881" s="40"/>
      <c r="C881" s="40"/>
      <c r="D881" s="40"/>
      <c r="E881" s="40"/>
      <c r="F881" s="40"/>
      <c r="G881" s="40"/>
    </row>
    <row r="882" spans="1:7">
      <c r="A882" s="39"/>
      <c r="B882" s="39"/>
      <c r="C882" s="39"/>
      <c r="D882" s="39"/>
      <c r="E882" s="39"/>
      <c r="F882" s="39"/>
      <c r="G882" s="39"/>
    </row>
    <row r="883" spans="1:7">
      <c r="A883" s="40"/>
      <c r="B883" s="40"/>
      <c r="C883" s="40"/>
      <c r="D883" s="40"/>
      <c r="E883" s="40"/>
      <c r="F883" s="40"/>
      <c r="G883" s="40"/>
    </row>
    <row r="884" spans="1:7">
      <c r="A884" s="39"/>
      <c r="B884" s="39"/>
      <c r="C884" s="39"/>
      <c r="D884" s="39"/>
      <c r="E884" s="39"/>
      <c r="F884" s="39"/>
      <c r="G884" s="39"/>
    </row>
    <row r="885" spans="1:7">
      <c r="A885" s="40"/>
      <c r="B885" s="40"/>
      <c r="C885" s="40"/>
      <c r="D885" s="40"/>
      <c r="E885" s="40"/>
      <c r="F885" s="40"/>
      <c r="G885" s="40"/>
    </row>
    <row r="886" spans="1:7">
      <c r="A886" s="39"/>
      <c r="B886" s="39"/>
      <c r="C886" s="39"/>
      <c r="D886" s="39"/>
      <c r="E886" s="39"/>
      <c r="F886" s="39"/>
      <c r="G886" s="39"/>
    </row>
    <row r="887" spans="1:7">
      <c r="A887" s="40"/>
      <c r="B887" s="40"/>
      <c r="C887" s="40"/>
      <c r="D887" s="40"/>
      <c r="E887" s="40"/>
      <c r="F887" s="40"/>
      <c r="G887" s="40"/>
    </row>
    <row r="888" spans="1:7">
      <c r="A888" s="39"/>
      <c r="B888" s="39"/>
      <c r="C888" s="39"/>
      <c r="D888" s="39"/>
      <c r="E888" s="39"/>
      <c r="F888" s="39"/>
      <c r="G888" s="39"/>
    </row>
    <row r="889" spans="1:7">
      <c r="A889" s="40"/>
      <c r="B889" s="40"/>
      <c r="C889" s="40"/>
      <c r="D889" s="40"/>
      <c r="E889" s="40"/>
      <c r="F889" s="40"/>
      <c r="G889" s="40"/>
    </row>
    <row r="890" spans="1:7">
      <c r="A890" s="39"/>
      <c r="B890" s="39"/>
      <c r="C890" s="39"/>
      <c r="D890" s="39"/>
      <c r="E890" s="39"/>
      <c r="F890" s="39"/>
      <c r="G890" s="39"/>
    </row>
    <row r="891" spans="1:7">
      <c r="A891" s="40"/>
      <c r="B891" s="40"/>
      <c r="C891" s="40"/>
      <c r="D891" s="40"/>
      <c r="E891" s="40"/>
      <c r="F891" s="40"/>
      <c r="G891" s="40"/>
    </row>
    <row r="892" spans="1:7">
      <c r="A892" s="39"/>
      <c r="B892" s="39"/>
      <c r="C892" s="39"/>
      <c r="D892" s="39"/>
      <c r="E892" s="39"/>
      <c r="F892" s="39"/>
      <c r="G892" s="39"/>
    </row>
    <row r="893" spans="1:7">
      <c r="A893" s="40"/>
      <c r="B893" s="40"/>
      <c r="C893" s="40"/>
      <c r="D893" s="40"/>
      <c r="E893" s="40"/>
      <c r="F893" s="40"/>
      <c r="G893" s="40"/>
    </row>
    <row r="894" spans="1:7">
      <c r="A894" s="39"/>
      <c r="B894" s="39"/>
      <c r="C894" s="39"/>
      <c r="D894" s="39"/>
      <c r="E894" s="39"/>
      <c r="F894" s="39"/>
      <c r="G894" s="39"/>
    </row>
    <row r="895" spans="1:7">
      <c r="A895" s="40"/>
      <c r="B895" s="40"/>
      <c r="C895" s="40"/>
      <c r="D895" s="40"/>
      <c r="E895" s="40"/>
      <c r="F895" s="40"/>
      <c r="G895" s="40"/>
    </row>
    <row r="896" spans="1:7">
      <c r="A896" s="39"/>
      <c r="B896" s="39"/>
      <c r="C896" s="39"/>
      <c r="D896" s="39"/>
      <c r="E896" s="39"/>
      <c r="F896" s="39"/>
      <c r="G896" s="39"/>
    </row>
    <row r="897" spans="1:7">
      <c r="A897" s="40"/>
      <c r="B897" s="40"/>
      <c r="C897" s="40"/>
      <c r="D897" s="40"/>
      <c r="E897" s="40"/>
      <c r="F897" s="40"/>
      <c r="G897" s="40"/>
    </row>
    <row r="898" spans="1:7">
      <c r="A898" s="39"/>
      <c r="B898" s="39"/>
      <c r="C898" s="39"/>
      <c r="D898" s="39"/>
      <c r="E898" s="39"/>
      <c r="F898" s="39"/>
      <c r="G898" s="39"/>
    </row>
    <row r="899" spans="1:7">
      <c r="A899" s="40"/>
      <c r="B899" s="40"/>
      <c r="C899" s="40"/>
      <c r="D899" s="40"/>
      <c r="E899" s="40"/>
      <c r="F899" s="40"/>
      <c r="G899" s="40"/>
    </row>
    <row r="900" spans="1:7">
      <c r="A900" s="39"/>
      <c r="B900" s="39"/>
      <c r="C900" s="39"/>
      <c r="D900" s="39"/>
      <c r="E900" s="39"/>
      <c r="F900" s="39"/>
      <c r="G900" s="39"/>
    </row>
    <row r="901" spans="1:7">
      <c r="A901" s="40"/>
      <c r="B901" s="40"/>
      <c r="C901" s="40"/>
      <c r="D901" s="40"/>
      <c r="E901" s="40"/>
      <c r="F901" s="40"/>
      <c r="G901" s="40"/>
    </row>
    <row r="902" spans="1:7">
      <c r="A902" s="39"/>
      <c r="B902" s="39"/>
      <c r="C902" s="39"/>
      <c r="D902" s="39"/>
      <c r="E902" s="39"/>
      <c r="F902" s="39"/>
      <c r="G902" s="39"/>
    </row>
    <row r="903" spans="1:7">
      <c r="A903" s="40"/>
      <c r="B903" s="40"/>
      <c r="C903" s="40"/>
      <c r="D903" s="40"/>
      <c r="E903" s="40"/>
      <c r="F903" s="40"/>
      <c r="G903" s="40"/>
    </row>
    <row r="904" spans="1:7">
      <c r="A904" s="39"/>
      <c r="B904" s="39"/>
      <c r="C904" s="39"/>
      <c r="D904" s="39"/>
      <c r="E904" s="39"/>
      <c r="F904" s="39"/>
      <c r="G904" s="39"/>
    </row>
    <row r="905" spans="1:7">
      <c r="A905" s="40"/>
      <c r="B905" s="40"/>
      <c r="C905" s="40"/>
      <c r="D905" s="40"/>
      <c r="E905" s="40"/>
      <c r="F905" s="40"/>
      <c r="G905" s="40"/>
    </row>
    <row r="906" spans="1:7">
      <c r="A906" s="39"/>
      <c r="B906" s="39"/>
      <c r="C906" s="39"/>
      <c r="D906" s="39"/>
      <c r="E906" s="39"/>
      <c r="F906" s="39"/>
      <c r="G906" s="39"/>
    </row>
    <row r="907" spans="1:7">
      <c r="A907" s="40"/>
      <c r="B907" s="40"/>
      <c r="C907" s="40"/>
      <c r="D907" s="40"/>
      <c r="E907" s="40"/>
      <c r="F907" s="40"/>
      <c r="G907" s="40"/>
    </row>
    <row r="908" spans="1:7">
      <c r="A908" s="39"/>
      <c r="B908" s="39"/>
      <c r="C908" s="39"/>
      <c r="D908" s="39"/>
      <c r="E908" s="39"/>
      <c r="F908" s="39"/>
      <c r="G908" s="39"/>
    </row>
    <row r="909" spans="1:7">
      <c r="A909" s="40"/>
      <c r="B909" s="40"/>
      <c r="C909" s="40"/>
      <c r="D909" s="40"/>
      <c r="E909" s="40"/>
      <c r="F909" s="40"/>
      <c r="G909" s="40"/>
    </row>
    <row r="910" spans="1:7">
      <c r="A910" s="39"/>
      <c r="B910" s="39"/>
      <c r="C910" s="39"/>
      <c r="D910" s="39"/>
      <c r="E910" s="39"/>
      <c r="F910" s="39"/>
      <c r="G910" s="39"/>
    </row>
    <row r="911" spans="1:7">
      <c r="A911" s="40"/>
      <c r="B911" s="40"/>
      <c r="C911" s="40"/>
      <c r="D911" s="40"/>
      <c r="E911" s="40"/>
      <c r="F911" s="40"/>
      <c r="G911" s="40"/>
    </row>
    <row r="912" spans="1:7">
      <c r="A912" s="39"/>
      <c r="B912" s="39"/>
      <c r="C912" s="39"/>
      <c r="D912" s="39"/>
      <c r="E912" s="39"/>
      <c r="F912" s="39"/>
      <c r="G912" s="39"/>
    </row>
    <row r="913" spans="1:7">
      <c r="A913" s="40"/>
      <c r="B913" s="40"/>
      <c r="C913" s="40"/>
      <c r="D913" s="40"/>
      <c r="E913" s="40"/>
      <c r="F913" s="40"/>
      <c r="G913" s="40"/>
    </row>
    <row r="914" spans="1:7">
      <c r="A914" s="39"/>
      <c r="B914" s="39"/>
      <c r="C914" s="39"/>
      <c r="D914" s="39"/>
      <c r="E914" s="39"/>
      <c r="F914" s="39"/>
      <c r="G914" s="39"/>
    </row>
    <row r="915" spans="1:7">
      <c r="A915" s="40"/>
      <c r="B915" s="40"/>
      <c r="C915" s="40"/>
      <c r="D915" s="40"/>
      <c r="E915" s="40"/>
      <c r="F915" s="40"/>
      <c r="G915" s="40"/>
    </row>
    <row r="916" spans="1:7">
      <c r="A916" s="39"/>
      <c r="B916" s="39"/>
      <c r="C916" s="39"/>
      <c r="D916" s="39"/>
      <c r="E916" s="39"/>
      <c r="F916" s="39"/>
      <c r="G916" s="39"/>
    </row>
    <row r="917" spans="1:7">
      <c r="A917" s="40"/>
      <c r="B917" s="40"/>
      <c r="C917" s="40"/>
      <c r="D917" s="40"/>
      <c r="E917" s="40"/>
      <c r="F917" s="40"/>
      <c r="G917" s="40"/>
    </row>
    <row r="918" spans="1:7">
      <c r="A918" s="39"/>
      <c r="B918" s="39"/>
      <c r="C918" s="39"/>
      <c r="D918" s="39"/>
      <c r="E918" s="39"/>
      <c r="F918" s="39"/>
      <c r="G918" s="39"/>
    </row>
    <row r="919" spans="1:7">
      <c r="A919" s="40"/>
      <c r="B919" s="40"/>
      <c r="C919" s="40"/>
      <c r="D919" s="40"/>
      <c r="E919" s="40"/>
      <c r="F919" s="40"/>
      <c r="G919" s="40"/>
    </row>
    <row r="920" spans="1:7">
      <c r="A920" s="39"/>
      <c r="B920" s="39"/>
      <c r="C920" s="39"/>
      <c r="D920" s="39"/>
      <c r="E920" s="39"/>
      <c r="F920" s="39"/>
      <c r="G920" s="39"/>
    </row>
    <row r="921" spans="1:7">
      <c r="A921" s="40"/>
      <c r="B921" s="40"/>
      <c r="C921" s="40"/>
      <c r="D921" s="40"/>
      <c r="E921" s="40"/>
      <c r="F921" s="40"/>
      <c r="G921" s="40"/>
    </row>
    <row r="922" spans="1:7">
      <c r="A922" s="39"/>
      <c r="B922" s="39"/>
      <c r="C922" s="39"/>
      <c r="D922" s="39"/>
      <c r="E922" s="39"/>
      <c r="F922" s="39"/>
      <c r="G922" s="39"/>
    </row>
    <row r="923" spans="1:7">
      <c r="A923" s="40"/>
      <c r="B923" s="40"/>
      <c r="C923" s="40"/>
      <c r="D923" s="40"/>
      <c r="E923" s="40"/>
      <c r="F923" s="40"/>
      <c r="G923" s="40"/>
    </row>
    <row r="924" spans="1:7">
      <c r="A924" s="39"/>
      <c r="B924" s="39"/>
      <c r="C924" s="39"/>
      <c r="D924" s="39"/>
      <c r="E924" s="39"/>
      <c r="F924" s="39"/>
      <c r="G924" s="39"/>
    </row>
    <row r="925" spans="1:7">
      <c r="A925" s="40"/>
      <c r="B925" s="40"/>
      <c r="C925" s="40"/>
      <c r="D925" s="40"/>
      <c r="E925" s="40"/>
      <c r="F925" s="40"/>
      <c r="G925" s="40"/>
    </row>
    <row r="926" spans="1:7">
      <c r="A926" s="39"/>
      <c r="B926" s="39"/>
      <c r="C926" s="39"/>
      <c r="D926" s="39"/>
      <c r="E926" s="39"/>
      <c r="F926" s="39"/>
      <c r="G926" s="39"/>
    </row>
    <row r="927" spans="1:7">
      <c r="A927" s="40"/>
      <c r="B927" s="40"/>
      <c r="C927" s="40"/>
      <c r="D927" s="40"/>
      <c r="E927" s="40"/>
      <c r="F927" s="40"/>
      <c r="G927" s="40"/>
    </row>
    <row r="928" spans="1:7">
      <c r="A928" s="39"/>
      <c r="B928" s="39"/>
      <c r="C928" s="39"/>
      <c r="D928" s="39"/>
      <c r="E928" s="39"/>
      <c r="F928" s="39"/>
      <c r="G928" s="39"/>
    </row>
    <row r="929" spans="1:7">
      <c r="A929" s="40"/>
      <c r="B929" s="40"/>
      <c r="C929" s="40"/>
      <c r="D929" s="40"/>
      <c r="E929" s="40"/>
      <c r="F929" s="40"/>
      <c r="G929" s="40"/>
    </row>
    <row r="930" spans="1:7">
      <c r="A930" s="39"/>
      <c r="B930" s="39"/>
      <c r="C930" s="39"/>
      <c r="D930" s="39"/>
      <c r="E930" s="39"/>
      <c r="F930" s="39"/>
      <c r="G930" s="39"/>
    </row>
    <row r="931" spans="1:7">
      <c r="A931" s="40"/>
      <c r="B931" s="40"/>
      <c r="C931" s="40"/>
      <c r="D931" s="40"/>
      <c r="E931" s="40"/>
      <c r="F931" s="40"/>
      <c r="G931" s="40"/>
    </row>
    <row r="932" spans="1:7">
      <c r="A932" s="39"/>
      <c r="B932" s="39"/>
      <c r="C932" s="39"/>
      <c r="D932" s="39"/>
      <c r="E932" s="39"/>
      <c r="F932" s="39"/>
      <c r="G932" s="39"/>
    </row>
    <row r="933" spans="1:7">
      <c r="A933" s="40"/>
      <c r="B933" s="40"/>
      <c r="C933" s="40"/>
      <c r="D933" s="40"/>
      <c r="E933" s="40"/>
      <c r="F933" s="40"/>
      <c r="G933" s="40"/>
    </row>
    <row r="934" spans="1:7">
      <c r="A934" s="39"/>
      <c r="B934" s="39"/>
      <c r="C934" s="39"/>
      <c r="D934" s="39"/>
      <c r="E934" s="39"/>
      <c r="F934" s="39"/>
      <c r="G934" s="39"/>
    </row>
    <row r="935" spans="1:7">
      <c r="A935" s="40"/>
      <c r="B935" s="40"/>
      <c r="C935" s="40"/>
      <c r="D935" s="40"/>
      <c r="E935" s="40"/>
      <c r="F935" s="40"/>
      <c r="G935" s="40"/>
    </row>
    <row r="936" spans="1:7">
      <c r="A936" s="39"/>
      <c r="B936" s="39"/>
      <c r="C936" s="39"/>
      <c r="D936" s="39"/>
      <c r="E936" s="39"/>
      <c r="F936" s="39"/>
      <c r="G936" s="39"/>
    </row>
    <row r="937" spans="1:7">
      <c r="A937" s="40"/>
      <c r="B937" s="40"/>
      <c r="C937" s="40"/>
      <c r="D937" s="40"/>
      <c r="E937" s="40"/>
      <c r="F937" s="40"/>
      <c r="G937" s="40"/>
    </row>
    <row r="938" spans="1:7">
      <c r="A938" s="39"/>
      <c r="B938" s="39"/>
      <c r="C938" s="39"/>
      <c r="D938" s="39"/>
      <c r="E938" s="39"/>
      <c r="F938" s="39"/>
      <c r="G938" s="39"/>
    </row>
    <row r="939" spans="1:7">
      <c r="A939" s="40"/>
      <c r="B939" s="40"/>
      <c r="C939" s="40"/>
      <c r="D939" s="40"/>
      <c r="E939" s="40"/>
      <c r="F939" s="40"/>
      <c r="G939" s="40"/>
    </row>
    <row r="940" spans="1:7">
      <c r="A940" s="39"/>
      <c r="B940" s="39"/>
      <c r="C940" s="39"/>
      <c r="D940" s="39"/>
      <c r="E940" s="39"/>
      <c r="F940" s="39"/>
      <c r="G940" s="39"/>
    </row>
    <row r="941" spans="1:7">
      <c r="A941" s="40"/>
      <c r="B941" s="40"/>
      <c r="C941" s="40"/>
      <c r="D941" s="40"/>
      <c r="E941" s="40"/>
      <c r="F941" s="40"/>
      <c r="G941" s="40"/>
    </row>
    <row r="942" spans="1:7">
      <c r="A942" s="39"/>
      <c r="B942" s="39"/>
      <c r="C942" s="39"/>
      <c r="D942" s="39"/>
      <c r="E942" s="39"/>
      <c r="F942" s="39"/>
      <c r="G942" s="39"/>
    </row>
    <row r="943" spans="1:7">
      <c r="A943" s="40"/>
      <c r="B943" s="40"/>
      <c r="C943" s="40"/>
      <c r="D943" s="40"/>
      <c r="E943" s="40"/>
      <c r="F943" s="40"/>
      <c r="G943" s="40"/>
    </row>
    <row r="944" spans="1:7">
      <c r="A944" s="39"/>
      <c r="B944" s="39"/>
      <c r="C944" s="39"/>
      <c r="D944" s="39"/>
      <c r="E944" s="39"/>
      <c r="F944" s="39"/>
      <c r="G944" s="39"/>
    </row>
    <row r="945" spans="1:7">
      <c r="A945" s="40"/>
      <c r="B945" s="40"/>
      <c r="C945" s="40"/>
      <c r="D945" s="40"/>
      <c r="E945" s="40"/>
      <c r="F945" s="40"/>
      <c r="G945" s="40"/>
    </row>
    <row r="946" spans="1:7">
      <c r="A946" s="39"/>
      <c r="B946" s="39"/>
      <c r="C946" s="39"/>
      <c r="D946" s="39"/>
      <c r="E946" s="39"/>
      <c r="F946" s="39"/>
      <c r="G946" s="39"/>
    </row>
    <row r="947" spans="1:7">
      <c r="A947" s="40"/>
      <c r="B947" s="40"/>
      <c r="C947" s="40"/>
      <c r="D947" s="40"/>
      <c r="E947" s="40"/>
      <c r="F947" s="40"/>
      <c r="G947" s="40"/>
    </row>
    <row r="948" spans="1:7">
      <c r="A948" s="39"/>
      <c r="B948" s="39"/>
      <c r="C948" s="39"/>
      <c r="D948" s="39"/>
      <c r="E948" s="39"/>
      <c r="F948" s="39"/>
      <c r="G948" s="39"/>
    </row>
    <row r="949" spans="1:7">
      <c r="A949" s="40"/>
      <c r="B949" s="40"/>
      <c r="C949" s="40"/>
      <c r="D949" s="40"/>
      <c r="E949" s="40"/>
      <c r="F949" s="40"/>
      <c r="G949" s="40"/>
    </row>
    <row r="950" spans="1:7">
      <c r="A950" s="39"/>
      <c r="B950" s="39"/>
      <c r="C950" s="39"/>
      <c r="D950" s="39"/>
      <c r="E950" s="39"/>
      <c r="F950" s="39"/>
      <c r="G950" s="39"/>
    </row>
    <row r="951" spans="1:7">
      <c r="A951" s="40"/>
      <c r="B951" s="40"/>
      <c r="C951" s="40"/>
      <c r="D951" s="40"/>
      <c r="E951" s="40"/>
      <c r="F951" s="40"/>
      <c r="G951" s="40"/>
    </row>
    <row r="952" spans="1:7">
      <c r="A952" s="39"/>
      <c r="B952" s="39"/>
      <c r="C952" s="39"/>
      <c r="D952" s="39"/>
      <c r="E952" s="39"/>
      <c r="F952" s="39"/>
      <c r="G952" s="39"/>
    </row>
    <row r="953" spans="1:7">
      <c r="A953" s="40"/>
      <c r="B953" s="40"/>
      <c r="C953" s="40"/>
      <c r="D953" s="40"/>
      <c r="E953" s="40"/>
      <c r="F953" s="40"/>
      <c r="G953" s="40"/>
    </row>
    <row r="954" spans="1:7">
      <c r="A954" s="39"/>
      <c r="B954" s="39"/>
      <c r="C954" s="39"/>
      <c r="D954" s="39"/>
      <c r="E954" s="39"/>
      <c r="F954" s="39"/>
      <c r="G954" s="39"/>
    </row>
    <row r="955" spans="1:7">
      <c r="A955" s="40"/>
      <c r="B955" s="40"/>
      <c r="C955" s="40"/>
      <c r="D955" s="40"/>
      <c r="E955" s="40"/>
      <c r="F955" s="40"/>
      <c r="G955" s="40"/>
    </row>
    <row r="956" spans="1:7">
      <c r="A956" s="39"/>
      <c r="B956" s="39"/>
      <c r="C956" s="39"/>
      <c r="D956" s="39"/>
      <c r="E956" s="39"/>
      <c r="F956" s="39"/>
      <c r="G956" s="39"/>
    </row>
    <row r="957" spans="1:7">
      <c r="A957" s="40"/>
      <c r="B957" s="40"/>
      <c r="C957" s="40"/>
      <c r="D957" s="40"/>
      <c r="E957" s="40"/>
      <c r="F957" s="40"/>
      <c r="G957" s="40"/>
    </row>
    <row r="958" spans="1:7">
      <c r="A958" s="39"/>
      <c r="B958" s="39"/>
      <c r="C958" s="39"/>
      <c r="D958" s="39"/>
      <c r="E958" s="39"/>
      <c r="F958" s="39"/>
      <c r="G958" s="39"/>
    </row>
    <row r="959" spans="1:7">
      <c r="A959" s="40"/>
      <c r="B959" s="40"/>
      <c r="C959" s="40"/>
      <c r="D959" s="40"/>
      <c r="E959" s="40"/>
      <c r="F959" s="40"/>
      <c r="G959" s="40"/>
    </row>
    <row r="960" spans="1:7">
      <c r="A960" s="39"/>
      <c r="B960" s="39"/>
      <c r="C960" s="39"/>
      <c r="D960" s="39"/>
      <c r="E960" s="39"/>
      <c r="F960" s="39"/>
      <c r="G960" s="39"/>
    </row>
    <row r="961" spans="1:7">
      <c r="A961" s="40"/>
      <c r="B961" s="40"/>
      <c r="C961" s="40"/>
      <c r="D961" s="40"/>
      <c r="E961" s="40"/>
      <c r="F961" s="40"/>
      <c r="G961" s="40"/>
    </row>
    <row r="962" spans="1:7">
      <c r="A962" s="39"/>
      <c r="B962" s="39"/>
      <c r="C962" s="39"/>
      <c r="D962" s="39"/>
      <c r="E962" s="39"/>
      <c r="F962" s="39"/>
      <c r="G962" s="39"/>
    </row>
    <row r="963" spans="1:7">
      <c r="A963" s="40"/>
      <c r="B963" s="40"/>
      <c r="C963" s="40"/>
      <c r="D963" s="40"/>
      <c r="E963" s="40"/>
      <c r="F963" s="40"/>
      <c r="G963" s="40"/>
    </row>
    <row r="964" spans="1:7">
      <c r="A964" s="39"/>
      <c r="B964" s="39"/>
      <c r="C964" s="39"/>
      <c r="D964" s="39"/>
      <c r="E964" s="39"/>
      <c r="F964" s="39"/>
      <c r="G964" s="39"/>
    </row>
    <row r="965" spans="1:7">
      <c r="A965" s="40"/>
      <c r="B965" s="40"/>
      <c r="C965" s="40"/>
      <c r="D965" s="40"/>
      <c r="E965" s="40"/>
      <c r="F965" s="40"/>
      <c r="G965" s="40"/>
    </row>
    <row r="966" spans="1:7">
      <c r="A966" s="39"/>
      <c r="B966" s="39"/>
      <c r="C966" s="39"/>
      <c r="D966" s="39"/>
      <c r="E966" s="39"/>
      <c r="F966" s="39"/>
      <c r="G966" s="39"/>
    </row>
    <row r="967" spans="1:7">
      <c r="A967" s="40"/>
      <c r="B967" s="40"/>
      <c r="C967" s="40"/>
      <c r="D967" s="40"/>
      <c r="E967" s="40"/>
      <c r="F967" s="40"/>
      <c r="G967" s="40"/>
    </row>
    <row r="968" spans="1:7">
      <c r="A968" s="39"/>
      <c r="B968" s="39"/>
      <c r="C968" s="39"/>
      <c r="D968" s="39"/>
      <c r="E968" s="39"/>
      <c r="F968" s="39"/>
      <c r="G968" s="39"/>
    </row>
    <row r="969" spans="1:7">
      <c r="A969" s="40"/>
      <c r="B969" s="40"/>
      <c r="C969" s="40"/>
      <c r="D969" s="40"/>
      <c r="E969" s="40"/>
      <c r="F969" s="40"/>
      <c r="G969" s="40"/>
    </row>
    <row r="970" spans="1:7">
      <c r="A970" s="39"/>
      <c r="B970" s="39"/>
      <c r="C970" s="39"/>
      <c r="D970" s="39"/>
      <c r="E970" s="39"/>
      <c r="F970" s="39"/>
      <c r="G970" s="39"/>
    </row>
    <row r="971" spans="1:7">
      <c r="A971" s="40"/>
      <c r="B971" s="40"/>
      <c r="C971" s="40"/>
      <c r="D971" s="40"/>
      <c r="E971" s="40"/>
      <c r="F971" s="40"/>
      <c r="G971" s="40"/>
    </row>
    <row r="972" spans="1:7">
      <c r="A972" s="39"/>
      <c r="B972" s="39"/>
      <c r="C972" s="39"/>
      <c r="D972" s="39"/>
      <c r="E972" s="39"/>
      <c r="F972" s="39"/>
      <c r="G972" s="39"/>
    </row>
    <row r="973" spans="1:7">
      <c r="A973" s="40"/>
      <c r="B973" s="40"/>
      <c r="C973" s="40"/>
      <c r="D973" s="40"/>
      <c r="E973" s="40"/>
      <c r="F973" s="40"/>
      <c r="G973" s="40"/>
    </row>
    <row r="974" spans="1:7">
      <c r="A974" s="39"/>
      <c r="B974" s="39"/>
      <c r="C974" s="39"/>
      <c r="D974" s="39"/>
      <c r="E974" s="39"/>
      <c r="F974" s="39"/>
      <c r="G974" s="39"/>
    </row>
    <row r="975" spans="1:7">
      <c r="A975" s="40"/>
      <c r="B975" s="40"/>
      <c r="C975" s="40"/>
      <c r="D975" s="40"/>
      <c r="E975" s="40"/>
      <c r="F975" s="40"/>
      <c r="G975" s="40"/>
    </row>
    <row r="976" spans="1:7">
      <c r="A976" s="39"/>
      <c r="B976" s="39"/>
      <c r="C976" s="39"/>
      <c r="D976" s="39"/>
      <c r="E976" s="39"/>
      <c r="F976" s="39"/>
      <c r="G976" s="39"/>
    </row>
    <row r="977" spans="1:7">
      <c r="A977" s="40"/>
      <c r="B977" s="40"/>
      <c r="C977" s="40"/>
      <c r="D977" s="40"/>
      <c r="E977" s="40"/>
      <c r="F977" s="40"/>
      <c r="G977" s="40"/>
    </row>
    <row r="978" spans="1:7">
      <c r="A978" s="39"/>
      <c r="B978" s="39"/>
      <c r="C978" s="39"/>
      <c r="D978" s="39"/>
      <c r="E978" s="39"/>
      <c r="F978" s="39"/>
      <c r="G978" s="39"/>
    </row>
    <row r="979" spans="1:7">
      <c r="A979" s="40"/>
      <c r="B979" s="40"/>
      <c r="C979" s="40"/>
      <c r="D979" s="40"/>
      <c r="E979" s="40"/>
      <c r="F979" s="40"/>
      <c r="G979" s="40"/>
    </row>
    <row r="980" spans="1:7">
      <c r="A980" s="39"/>
      <c r="B980" s="39"/>
      <c r="C980" s="39"/>
      <c r="D980" s="39"/>
      <c r="E980" s="39"/>
      <c r="F980" s="39"/>
      <c r="G980" s="39"/>
    </row>
    <row r="981" spans="1:7">
      <c r="A981" s="40"/>
      <c r="B981" s="40"/>
      <c r="C981" s="40"/>
      <c r="D981" s="40"/>
      <c r="E981" s="40"/>
      <c r="F981" s="40"/>
      <c r="G981" s="40"/>
    </row>
    <row r="982" spans="1:7">
      <c r="A982" s="39"/>
      <c r="B982" s="39"/>
      <c r="C982" s="39"/>
      <c r="D982" s="39"/>
      <c r="E982" s="39"/>
      <c r="F982" s="39"/>
      <c r="G982" s="39"/>
    </row>
    <row r="983" spans="1:7">
      <c r="A983" s="40"/>
      <c r="B983" s="40"/>
      <c r="C983" s="40"/>
      <c r="D983" s="40"/>
      <c r="E983" s="40"/>
      <c r="F983" s="40"/>
      <c r="G983" s="40"/>
    </row>
    <row r="984" spans="1:7">
      <c r="A984" s="39"/>
      <c r="B984" s="39"/>
      <c r="C984" s="39"/>
      <c r="D984" s="39"/>
      <c r="E984" s="39"/>
      <c r="F984" s="39"/>
      <c r="G984" s="39"/>
    </row>
    <row r="985" spans="1:7">
      <c r="A985" s="40"/>
      <c r="B985" s="40"/>
      <c r="C985" s="40"/>
      <c r="D985" s="40"/>
      <c r="E985" s="40"/>
      <c r="F985" s="40"/>
      <c r="G985" s="40"/>
    </row>
    <row r="986" spans="1:7">
      <c r="A986" s="39"/>
      <c r="B986" s="39"/>
      <c r="C986" s="39"/>
      <c r="D986" s="39"/>
      <c r="E986" s="39"/>
      <c r="F986" s="39"/>
      <c r="G986" s="39"/>
    </row>
    <row r="987" spans="1:7">
      <c r="A987" s="40"/>
      <c r="B987" s="40"/>
      <c r="C987" s="40"/>
      <c r="D987" s="40"/>
      <c r="E987" s="40"/>
      <c r="F987" s="40"/>
      <c r="G987" s="40"/>
    </row>
    <row r="988" spans="1:7">
      <c r="A988" s="39"/>
      <c r="B988" s="39"/>
      <c r="C988" s="39"/>
      <c r="D988" s="39"/>
      <c r="E988" s="39"/>
      <c r="F988" s="39"/>
      <c r="G988" s="39"/>
    </row>
    <row r="989" spans="1:7">
      <c r="A989" s="40"/>
      <c r="B989" s="40"/>
      <c r="C989" s="40"/>
      <c r="D989" s="40"/>
      <c r="E989" s="40"/>
      <c r="F989" s="40"/>
      <c r="G989" s="40"/>
    </row>
    <row r="990" spans="1:7">
      <c r="A990" s="39"/>
      <c r="B990" s="39"/>
      <c r="C990" s="39"/>
      <c r="D990" s="39"/>
      <c r="E990" s="39"/>
      <c r="F990" s="39"/>
      <c r="G990" s="39"/>
    </row>
    <row r="991" spans="1:7">
      <c r="A991" s="40"/>
      <c r="B991" s="40"/>
      <c r="C991" s="40"/>
      <c r="D991" s="40"/>
      <c r="E991" s="40"/>
      <c r="F991" s="40"/>
      <c r="G991" s="40"/>
    </row>
    <row r="992" spans="1:7">
      <c r="A992" s="39"/>
      <c r="B992" s="39"/>
      <c r="C992" s="39"/>
      <c r="D992" s="39"/>
      <c r="E992" s="39"/>
      <c r="F992" s="39"/>
      <c r="G992" s="39"/>
    </row>
    <row r="993" spans="1:7">
      <c r="A993" s="40"/>
      <c r="B993" s="40"/>
      <c r="C993" s="40"/>
      <c r="D993" s="40"/>
      <c r="E993" s="40"/>
      <c r="F993" s="40"/>
      <c r="G993" s="40"/>
    </row>
    <row r="994" spans="1:7">
      <c r="A994" s="39"/>
      <c r="B994" s="39"/>
      <c r="C994" s="39"/>
      <c r="D994" s="39"/>
      <c r="E994" s="39"/>
      <c r="F994" s="39"/>
      <c r="G994" s="39"/>
    </row>
    <row r="995" spans="1:7">
      <c r="A995" s="40"/>
      <c r="B995" s="40"/>
      <c r="C995" s="40"/>
      <c r="D995" s="40"/>
      <c r="E995" s="40"/>
      <c r="F995" s="40"/>
      <c r="G995" s="40"/>
    </row>
    <row r="996" spans="1:7">
      <c r="A996" s="39"/>
      <c r="B996" s="39"/>
      <c r="C996" s="39"/>
      <c r="D996" s="39"/>
      <c r="E996" s="39"/>
      <c r="F996" s="39"/>
      <c r="G996" s="39"/>
    </row>
    <row r="997" spans="1:7">
      <c r="A997" s="40"/>
      <c r="B997" s="40"/>
      <c r="C997" s="40"/>
      <c r="D997" s="40"/>
      <c r="E997" s="40"/>
      <c r="F997" s="40"/>
      <c r="G997" s="40"/>
    </row>
    <row r="998" spans="1:7">
      <c r="A998" s="39"/>
      <c r="B998" s="39"/>
      <c r="C998" s="39"/>
      <c r="D998" s="39"/>
      <c r="E998" s="39"/>
      <c r="F998" s="39"/>
      <c r="G998" s="39"/>
    </row>
    <row r="999" spans="1:7">
      <c r="A999" s="40"/>
      <c r="B999" s="40"/>
      <c r="C999" s="40"/>
      <c r="D999" s="40"/>
      <c r="E999" s="40"/>
      <c r="F999" s="40"/>
      <c r="G999" s="40"/>
    </row>
    <row r="1000" spans="1:7">
      <c r="A1000" s="39"/>
      <c r="B1000" s="39"/>
      <c r="C1000" s="39"/>
      <c r="D1000" s="39"/>
      <c r="E1000" s="39"/>
      <c r="F1000" s="39"/>
      <c r="G1000" s="39"/>
    </row>
    <row r="1001" spans="1:7">
      <c r="A1001" s="40"/>
      <c r="B1001" s="40"/>
      <c r="C1001" s="40"/>
      <c r="D1001" s="40"/>
      <c r="E1001" s="40"/>
      <c r="F1001" s="40"/>
      <c r="G1001" s="40"/>
    </row>
    <row r="1002" spans="1:7">
      <c r="A1002" s="39"/>
      <c r="B1002" s="39"/>
      <c r="C1002" s="39"/>
      <c r="D1002" s="39"/>
      <c r="E1002" s="39"/>
      <c r="F1002" s="39"/>
      <c r="G1002" s="39"/>
    </row>
    <row r="1003" spans="1:7">
      <c r="A1003" s="40"/>
      <c r="B1003" s="40"/>
      <c r="C1003" s="40"/>
      <c r="D1003" s="40"/>
      <c r="E1003" s="40"/>
      <c r="F1003" s="40"/>
      <c r="G1003" s="40"/>
    </row>
    <row r="1004" spans="1:7">
      <c r="A1004" s="39"/>
      <c r="B1004" s="39"/>
      <c r="C1004" s="39"/>
      <c r="D1004" s="39"/>
      <c r="E1004" s="39"/>
      <c r="F1004" s="39"/>
      <c r="G1004" s="39"/>
    </row>
    <row r="1005" spans="1:7">
      <c r="A1005" s="40"/>
      <c r="B1005" s="40"/>
      <c r="C1005" s="40"/>
      <c r="D1005" s="40"/>
      <c r="E1005" s="40"/>
      <c r="F1005" s="40"/>
      <c r="G1005" s="40"/>
    </row>
    <row r="1006" spans="1:7">
      <c r="A1006" s="39"/>
      <c r="B1006" s="39"/>
      <c r="C1006" s="39"/>
      <c r="D1006" s="39"/>
      <c r="E1006" s="39"/>
      <c r="F1006" s="39"/>
      <c r="G1006" s="39"/>
    </row>
    <row r="1007" spans="1:7">
      <c r="A1007" s="40"/>
      <c r="B1007" s="40"/>
      <c r="C1007" s="40"/>
      <c r="D1007" s="40"/>
      <c r="E1007" s="40"/>
      <c r="F1007" s="40"/>
      <c r="G1007" s="40"/>
    </row>
    <row r="1008" spans="1:7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9E8E9-6F12-824C-8EDA-3EF5B7EC8E55}">
  <dimension ref="A1:L1008"/>
  <sheetViews>
    <sheetView workbookViewId="0"/>
  </sheetViews>
  <sheetFormatPr defaultColWidth="10.85546875" defaultRowHeight="15"/>
  <cols>
    <col min="1" max="1" width="11.85546875" style="37" bestFit="1" customWidth="1"/>
    <col min="2" max="16384" width="10.85546875" style="37"/>
  </cols>
  <sheetData>
    <row r="1" spans="1:12">
      <c r="A1" s="36" t="s">
        <v>119</v>
      </c>
      <c r="B1" s="36" t="s">
        <v>151</v>
      </c>
      <c r="G1" s="38" t="s">
        <v>125</v>
      </c>
    </row>
    <row r="3" spans="1:12">
      <c r="A3" s="38" t="s">
        <v>120</v>
      </c>
    </row>
    <row r="4" spans="1:12">
      <c r="A4" s="39" t="s">
        <v>86</v>
      </c>
      <c r="B4" s="39" t="s">
        <v>126</v>
      </c>
      <c r="C4" s="39" t="s">
        <v>127</v>
      </c>
      <c r="D4" s="39" t="s">
        <v>128</v>
      </c>
      <c r="E4" s="39"/>
      <c r="F4" s="39"/>
      <c r="G4" s="39"/>
      <c r="H4" s="39"/>
      <c r="I4" s="39"/>
      <c r="J4" s="39"/>
      <c r="K4" s="39"/>
      <c r="L4" s="39"/>
    </row>
    <row r="5" spans="1:12">
      <c r="A5" s="38" t="s">
        <v>121</v>
      </c>
    </row>
    <row r="6" spans="1:12">
      <c r="A6" s="41" t="s">
        <v>122</v>
      </c>
      <c r="B6" s="40" t="s">
        <v>123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>
      <c r="A8" s="36" t="s">
        <v>86</v>
      </c>
      <c r="B8" s="36" t="s">
        <v>126</v>
      </c>
      <c r="C8" s="36" t="s">
        <v>127</v>
      </c>
      <c r="D8" s="36" t="s">
        <v>128</v>
      </c>
      <c r="E8" s="36" t="s">
        <v>151</v>
      </c>
      <c r="F8" s="36" t="s">
        <v>122</v>
      </c>
      <c r="G8" s="36" t="s">
        <v>123</v>
      </c>
      <c r="J8" s="38" t="s">
        <v>129</v>
      </c>
    </row>
    <row r="9" spans="1:12">
      <c r="A9" s="40">
        <v>2016</v>
      </c>
      <c r="B9" s="40" t="s">
        <v>165</v>
      </c>
      <c r="C9" s="40" t="s">
        <v>43</v>
      </c>
      <c r="D9" s="40" t="s">
        <v>158</v>
      </c>
      <c r="E9" s="40">
        <v>1.0700000000000001E-2</v>
      </c>
      <c r="F9" s="40"/>
      <c r="G9" s="40">
        <v>16.189</v>
      </c>
    </row>
    <row r="10" spans="1:12">
      <c r="A10" s="39">
        <v>2016</v>
      </c>
      <c r="B10" s="39" t="s">
        <v>165</v>
      </c>
      <c r="C10" s="39" t="s">
        <v>43</v>
      </c>
      <c r="D10" s="39" t="s">
        <v>159</v>
      </c>
      <c r="E10" s="39">
        <v>1.1599999999999999E-2</v>
      </c>
      <c r="F10" s="39"/>
      <c r="G10" s="39">
        <v>11.117000000000001</v>
      </c>
    </row>
    <row r="11" spans="1:12">
      <c r="A11" s="40">
        <v>2016</v>
      </c>
      <c r="B11" s="40" t="s">
        <v>165</v>
      </c>
      <c r="C11" s="40" t="s">
        <v>43</v>
      </c>
      <c r="D11" s="40" t="s">
        <v>160</v>
      </c>
      <c r="E11" s="40">
        <v>1.06E-2</v>
      </c>
      <c r="F11" s="40"/>
      <c r="G11" s="40">
        <v>8.2759999999999998</v>
      </c>
    </row>
    <row r="12" spans="1:12">
      <c r="A12" s="39">
        <v>2016</v>
      </c>
      <c r="B12" s="39" t="s">
        <v>165</v>
      </c>
      <c r="C12" s="39" t="s">
        <v>44</v>
      </c>
      <c r="D12" s="39" t="s">
        <v>158</v>
      </c>
      <c r="E12" s="39">
        <v>8.0000000000000004E-4</v>
      </c>
      <c r="F12" s="39"/>
      <c r="G12" s="39">
        <v>1.5629999999999999</v>
      </c>
    </row>
    <row r="13" spans="1:12">
      <c r="A13" s="40">
        <v>2016</v>
      </c>
      <c r="B13" s="40" t="s">
        <v>165</v>
      </c>
      <c r="C13" s="40" t="s">
        <v>44</v>
      </c>
      <c r="D13" s="40" t="s">
        <v>159</v>
      </c>
      <c r="E13" s="40">
        <v>2.5000000000000001E-3</v>
      </c>
      <c r="F13" s="40"/>
      <c r="G13" s="40">
        <v>2.613</v>
      </c>
    </row>
    <row r="14" spans="1:12">
      <c r="A14" s="39">
        <v>2016</v>
      </c>
      <c r="B14" s="39" t="s">
        <v>165</v>
      </c>
      <c r="C14" s="39" t="s">
        <v>44</v>
      </c>
      <c r="D14" s="39" t="s">
        <v>160</v>
      </c>
      <c r="E14" s="39">
        <v>8.6999999999999994E-3</v>
      </c>
      <c r="F14" s="39"/>
      <c r="G14" s="39">
        <v>6.0389999999999997</v>
      </c>
      <c r="H14" s="37" t="s">
        <v>112</v>
      </c>
    </row>
    <row r="15" spans="1:12">
      <c r="A15" s="40"/>
      <c r="B15" s="40"/>
      <c r="C15" s="40"/>
      <c r="D15" s="40"/>
      <c r="E15" s="40"/>
      <c r="F15" s="40"/>
      <c r="G15" s="40"/>
    </row>
    <row r="16" spans="1:12">
      <c r="A16" s="39"/>
      <c r="B16" s="39"/>
      <c r="C16" s="39"/>
      <c r="D16" s="39"/>
      <c r="E16" s="39"/>
      <c r="F16" s="39"/>
      <c r="G16" s="39"/>
    </row>
    <row r="17" spans="1:10">
      <c r="A17" s="40"/>
      <c r="B17" s="40"/>
      <c r="C17" s="40"/>
      <c r="D17" s="40"/>
      <c r="E17" s="40"/>
      <c r="F17" s="40"/>
      <c r="G17" s="40"/>
    </row>
    <row r="18" spans="1:10">
      <c r="A18" s="39"/>
      <c r="B18" s="39"/>
      <c r="C18" s="39"/>
      <c r="D18" s="39"/>
      <c r="E18" s="39"/>
      <c r="F18" s="39"/>
      <c r="G18" s="39"/>
      <c r="J18" s="37" t="s">
        <v>112</v>
      </c>
    </row>
    <row r="19" spans="1:10">
      <c r="A19" s="40"/>
      <c r="B19" s="40"/>
      <c r="C19" s="40"/>
      <c r="D19" s="40"/>
      <c r="E19" s="40"/>
      <c r="F19" s="40"/>
      <c r="G19" s="40"/>
    </row>
    <row r="20" spans="1:10">
      <c r="A20" s="39"/>
      <c r="B20" s="39"/>
      <c r="C20" s="39"/>
      <c r="D20" s="39"/>
      <c r="E20" s="39"/>
      <c r="F20" s="39"/>
      <c r="G20" s="39"/>
      <c r="I20" s="37" t="s">
        <v>112</v>
      </c>
    </row>
    <row r="21" spans="1:10">
      <c r="A21" s="40"/>
      <c r="B21" s="40"/>
      <c r="C21" s="40"/>
      <c r="D21" s="40"/>
      <c r="E21" s="40"/>
      <c r="F21" s="40"/>
      <c r="G21" s="40"/>
      <c r="H21" s="37" t="s">
        <v>112</v>
      </c>
    </row>
    <row r="22" spans="1:10">
      <c r="A22" s="39"/>
      <c r="B22" s="39"/>
      <c r="C22" s="39"/>
      <c r="D22" s="39"/>
      <c r="E22" s="39"/>
      <c r="F22" s="39"/>
      <c r="G22" s="39"/>
    </row>
    <row r="23" spans="1:10">
      <c r="A23" s="40"/>
      <c r="B23" s="40"/>
      <c r="C23" s="40"/>
      <c r="D23" s="40"/>
      <c r="E23" s="40"/>
      <c r="F23" s="40"/>
      <c r="G23" s="40"/>
      <c r="J23" s="37" t="s">
        <v>112</v>
      </c>
    </row>
    <row r="24" spans="1:10">
      <c r="A24" s="39"/>
      <c r="B24" s="39"/>
      <c r="C24" s="39"/>
      <c r="D24" s="39"/>
      <c r="E24" s="39"/>
      <c r="F24" s="39"/>
      <c r="G24" s="39"/>
    </row>
    <row r="25" spans="1:10">
      <c r="A25" s="40"/>
      <c r="B25" s="40"/>
      <c r="C25" s="40"/>
      <c r="D25" s="40"/>
      <c r="E25" s="40"/>
      <c r="F25" s="40"/>
      <c r="G25" s="40"/>
    </row>
    <row r="26" spans="1:10">
      <c r="A26" s="39"/>
      <c r="B26" s="39"/>
      <c r="C26" s="39"/>
      <c r="D26" s="39"/>
      <c r="E26" s="39"/>
      <c r="F26" s="39"/>
      <c r="G26" s="39"/>
    </row>
    <row r="27" spans="1:10">
      <c r="A27" s="40"/>
      <c r="B27" s="40"/>
      <c r="C27" s="40"/>
      <c r="D27" s="40"/>
      <c r="E27" s="40"/>
      <c r="F27" s="40"/>
      <c r="G27" s="40"/>
    </row>
    <row r="28" spans="1:10">
      <c r="A28" s="39"/>
      <c r="B28" s="39"/>
      <c r="C28" s="39"/>
      <c r="D28" s="39"/>
      <c r="E28" s="39"/>
      <c r="F28" s="39"/>
      <c r="G28" s="39"/>
    </row>
    <row r="29" spans="1:10">
      <c r="A29" s="40"/>
      <c r="B29" s="40"/>
      <c r="C29" s="40"/>
      <c r="D29" s="40"/>
      <c r="E29" s="40"/>
      <c r="F29" s="40"/>
      <c r="G29" s="40"/>
    </row>
    <row r="30" spans="1:10">
      <c r="A30" s="39"/>
      <c r="B30" s="39"/>
      <c r="C30" s="39"/>
      <c r="D30" s="39"/>
      <c r="E30" s="39"/>
      <c r="F30" s="39"/>
      <c r="G30" s="39"/>
    </row>
    <row r="31" spans="1:10">
      <c r="A31" s="40"/>
      <c r="B31" s="40"/>
      <c r="C31" s="40"/>
      <c r="D31" s="40"/>
      <c r="E31" s="40"/>
      <c r="F31" s="40"/>
      <c r="G31" s="40"/>
    </row>
    <row r="32" spans="1:10">
      <c r="A32" s="39"/>
      <c r="B32" s="39"/>
      <c r="C32" s="39"/>
      <c r="D32" s="39"/>
      <c r="E32" s="39"/>
      <c r="F32" s="39"/>
      <c r="G32" s="39"/>
    </row>
    <row r="33" spans="1:7">
      <c r="A33" s="40"/>
      <c r="B33" s="40"/>
      <c r="C33" s="40"/>
      <c r="D33" s="40"/>
      <c r="E33" s="40"/>
      <c r="F33" s="40"/>
      <c r="G33" s="40"/>
    </row>
    <row r="34" spans="1:7">
      <c r="A34" s="39"/>
      <c r="B34" s="39"/>
      <c r="C34" s="39"/>
      <c r="D34" s="39"/>
      <c r="E34" s="39"/>
      <c r="F34" s="39"/>
      <c r="G34" s="39"/>
    </row>
    <row r="35" spans="1:7">
      <c r="A35" s="40"/>
      <c r="B35" s="40"/>
      <c r="C35" s="40"/>
      <c r="D35" s="40"/>
      <c r="E35" s="40"/>
      <c r="F35" s="40"/>
      <c r="G35" s="40"/>
    </row>
    <row r="36" spans="1:7">
      <c r="A36" s="39"/>
      <c r="B36" s="39"/>
      <c r="C36" s="39"/>
      <c r="D36" s="39"/>
      <c r="E36" s="39"/>
      <c r="F36" s="39"/>
      <c r="G36" s="39"/>
    </row>
    <row r="37" spans="1:7">
      <c r="A37" s="40"/>
      <c r="B37" s="40"/>
      <c r="C37" s="40"/>
      <c r="D37" s="40"/>
      <c r="E37" s="40"/>
      <c r="F37" s="40"/>
      <c r="G37" s="40"/>
    </row>
    <row r="38" spans="1:7">
      <c r="A38" s="39"/>
      <c r="B38" s="39"/>
      <c r="C38" s="39"/>
      <c r="D38" s="39"/>
      <c r="E38" s="39"/>
      <c r="F38" s="39"/>
      <c r="G38" s="39"/>
    </row>
    <row r="39" spans="1:7">
      <c r="A39" s="40"/>
      <c r="B39" s="40"/>
      <c r="C39" s="40"/>
      <c r="D39" s="40"/>
      <c r="E39" s="40"/>
      <c r="F39" s="40"/>
      <c r="G39" s="40"/>
    </row>
    <row r="40" spans="1:7">
      <c r="A40" s="39"/>
      <c r="B40" s="39"/>
      <c r="C40" s="39"/>
      <c r="D40" s="39"/>
      <c r="E40" s="39"/>
      <c r="F40" s="39"/>
      <c r="G40" s="39"/>
    </row>
    <row r="41" spans="1:7">
      <c r="A41" s="40"/>
      <c r="B41" s="40"/>
      <c r="C41" s="40"/>
      <c r="D41" s="40"/>
      <c r="E41" s="40"/>
      <c r="F41" s="40"/>
      <c r="G41" s="40"/>
    </row>
    <row r="42" spans="1:7">
      <c r="A42" s="39"/>
      <c r="B42" s="39"/>
      <c r="C42" s="39"/>
      <c r="D42" s="39"/>
      <c r="E42" s="39"/>
      <c r="F42" s="39"/>
      <c r="G42" s="39"/>
    </row>
    <row r="43" spans="1:7">
      <c r="A43" s="40"/>
      <c r="B43" s="40"/>
      <c r="C43" s="40"/>
      <c r="D43" s="40"/>
      <c r="E43" s="40"/>
      <c r="F43" s="40"/>
      <c r="G43" s="40"/>
    </row>
    <row r="44" spans="1:7">
      <c r="A44" s="39"/>
      <c r="B44" s="39"/>
      <c r="C44" s="39"/>
      <c r="D44" s="39"/>
      <c r="E44" s="39"/>
      <c r="F44" s="39"/>
      <c r="G44" s="39"/>
    </row>
    <row r="45" spans="1:7">
      <c r="A45" s="40"/>
      <c r="B45" s="40"/>
      <c r="C45" s="40"/>
      <c r="D45" s="40"/>
      <c r="E45" s="40"/>
      <c r="F45" s="40"/>
      <c r="G45" s="40"/>
    </row>
    <row r="46" spans="1:7">
      <c r="A46" s="39"/>
      <c r="B46" s="39"/>
      <c r="C46" s="39"/>
      <c r="D46" s="39"/>
      <c r="E46" s="39"/>
      <c r="F46" s="39"/>
      <c r="G46" s="39"/>
    </row>
    <row r="47" spans="1:7">
      <c r="A47" s="40"/>
      <c r="B47" s="40"/>
      <c r="C47" s="40"/>
      <c r="D47" s="40"/>
      <c r="E47" s="40"/>
      <c r="F47" s="40"/>
      <c r="G47" s="40"/>
    </row>
    <row r="48" spans="1:7">
      <c r="A48" s="39"/>
      <c r="B48" s="39"/>
      <c r="C48" s="39"/>
      <c r="D48" s="39"/>
      <c r="E48" s="39"/>
      <c r="F48" s="39"/>
      <c r="G48" s="39"/>
    </row>
    <row r="49" spans="1:7">
      <c r="A49" s="40"/>
      <c r="B49" s="40"/>
      <c r="C49" s="40"/>
      <c r="D49" s="40"/>
      <c r="E49" s="40"/>
      <c r="F49" s="40"/>
      <c r="G49" s="40"/>
    </row>
    <row r="50" spans="1:7">
      <c r="A50" s="39"/>
      <c r="B50" s="39"/>
      <c r="C50" s="39"/>
      <c r="D50" s="39"/>
      <c r="E50" s="39"/>
      <c r="F50" s="39"/>
      <c r="G50" s="39"/>
    </row>
    <row r="51" spans="1:7">
      <c r="A51" s="40"/>
      <c r="B51" s="40"/>
      <c r="C51" s="40"/>
      <c r="D51" s="40"/>
      <c r="E51" s="40"/>
      <c r="F51" s="40"/>
      <c r="G51" s="40"/>
    </row>
    <row r="52" spans="1:7">
      <c r="A52" s="39"/>
      <c r="B52" s="39"/>
      <c r="C52" s="39"/>
      <c r="D52" s="39"/>
      <c r="E52" s="39"/>
      <c r="F52" s="39"/>
      <c r="G52" s="39"/>
    </row>
    <row r="53" spans="1:7">
      <c r="A53" s="40"/>
      <c r="B53" s="40"/>
      <c r="C53" s="40"/>
      <c r="D53" s="40"/>
      <c r="E53" s="40"/>
      <c r="F53" s="40"/>
      <c r="G53" s="40"/>
    </row>
    <row r="54" spans="1:7">
      <c r="A54" s="39"/>
      <c r="B54" s="39"/>
      <c r="C54" s="39"/>
      <c r="D54" s="39"/>
      <c r="E54" s="39"/>
      <c r="F54" s="39"/>
      <c r="G54" s="39"/>
    </row>
    <row r="55" spans="1:7">
      <c r="A55" s="40"/>
      <c r="B55" s="40"/>
      <c r="C55" s="40"/>
      <c r="D55" s="40"/>
      <c r="E55" s="40"/>
      <c r="F55" s="40"/>
      <c r="G55" s="40"/>
    </row>
    <row r="56" spans="1:7">
      <c r="A56" s="39"/>
      <c r="B56" s="39"/>
      <c r="C56" s="39"/>
      <c r="D56" s="39"/>
      <c r="E56" s="39"/>
      <c r="F56" s="39"/>
      <c r="G56" s="39"/>
    </row>
    <row r="57" spans="1:7">
      <c r="A57" s="40"/>
      <c r="B57" s="40"/>
      <c r="C57" s="40"/>
      <c r="D57" s="40"/>
      <c r="E57" s="40"/>
      <c r="F57" s="40"/>
      <c r="G57" s="40"/>
    </row>
    <row r="58" spans="1:7">
      <c r="A58" s="39"/>
      <c r="B58" s="39"/>
      <c r="C58" s="39"/>
      <c r="D58" s="39"/>
      <c r="E58" s="39"/>
      <c r="F58" s="39"/>
      <c r="G58" s="39"/>
    </row>
    <row r="59" spans="1:7">
      <c r="A59" s="40"/>
      <c r="B59" s="40"/>
      <c r="C59" s="40"/>
      <c r="D59" s="40"/>
      <c r="E59" s="40"/>
      <c r="F59" s="40"/>
      <c r="G59" s="40"/>
    </row>
    <row r="60" spans="1:7">
      <c r="A60" s="39"/>
      <c r="B60" s="39"/>
      <c r="C60" s="39"/>
      <c r="D60" s="39"/>
      <c r="E60" s="39"/>
      <c r="F60" s="39"/>
      <c r="G60" s="39"/>
    </row>
    <row r="61" spans="1:7">
      <c r="A61" s="40"/>
      <c r="B61" s="40"/>
      <c r="C61" s="40"/>
      <c r="D61" s="40"/>
      <c r="E61" s="40"/>
      <c r="F61" s="40"/>
      <c r="G61" s="40"/>
    </row>
    <row r="62" spans="1:7">
      <c r="A62" s="39"/>
      <c r="B62" s="39"/>
      <c r="C62" s="39"/>
      <c r="D62" s="39"/>
      <c r="E62" s="39"/>
      <c r="F62" s="39"/>
      <c r="G62" s="39"/>
    </row>
    <row r="63" spans="1:7">
      <c r="A63" s="40"/>
      <c r="B63" s="40"/>
      <c r="C63" s="40"/>
      <c r="D63" s="40"/>
      <c r="E63" s="40"/>
      <c r="F63" s="40"/>
      <c r="G63" s="40"/>
    </row>
    <row r="64" spans="1:7">
      <c r="A64" s="39"/>
      <c r="B64" s="39"/>
      <c r="C64" s="39"/>
      <c r="D64" s="39"/>
      <c r="E64" s="39"/>
      <c r="F64" s="39"/>
      <c r="G64" s="39"/>
    </row>
    <row r="65" spans="1:7">
      <c r="A65" s="40"/>
      <c r="B65" s="40"/>
      <c r="C65" s="40"/>
      <c r="D65" s="40"/>
      <c r="E65" s="40"/>
      <c r="F65" s="40"/>
      <c r="G65" s="40"/>
    </row>
    <row r="66" spans="1:7">
      <c r="A66" s="39"/>
      <c r="B66" s="39"/>
      <c r="C66" s="39"/>
      <c r="D66" s="39"/>
      <c r="E66" s="39"/>
      <c r="F66" s="39"/>
      <c r="G66" s="39"/>
    </row>
    <row r="67" spans="1:7">
      <c r="A67" s="40"/>
      <c r="B67" s="40"/>
      <c r="C67" s="40"/>
      <c r="D67" s="40"/>
      <c r="E67" s="40"/>
      <c r="F67" s="40"/>
      <c r="G67" s="40"/>
    </row>
    <row r="68" spans="1:7">
      <c r="A68" s="39"/>
      <c r="B68" s="39"/>
      <c r="C68" s="39"/>
      <c r="D68" s="39"/>
      <c r="E68" s="39"/>
      <c r="F68" s="39"/>
      <c r="G68" s="39"/>
    </row>
    <row r="69" spans="1:7">
      <c r="A69" s="40"/>
      <c r="B69" s="40"/>
      <c r="C69" s="40"/>
      <c r="D69" s="40"/>
      <c r="E69" s="40"/>
      <c r="F69" s="40"/>
      <c r="G69" s="40"/>
    </row>
    <row r="70" spans="1:7">
      <c r="A70" s="39"/>
      <c r="B70" s="39"/>
      <c r="C70" s="39"/>
      <c r="D70" s="39"/>
      <c r="E70" s="39"/>
      <c r="F70" s="39"/>
      <c r="G70" s="39"/>
    </row>
    <row r="71" spans="1:7">
      <c r="A71" s="40"/>
      <c r="B71" s="40"/>
      <c r="C71" s="40"/>
      <c r="D71" s="40"/>
      <c r="E71" s="40"/>
      <c r="F71" s="40"/>
      <c r="G71" s="40"/>
    </row>
    <row r="72" spans="1:7">
      <c r="A72" s="39"/>
      <c r="B72" s="39"/>
      <c r="C72" s="39"/>
      <c r="D72" s="39"/>
      <c r="E72" s="39"/>
      <c r="F72" s="39"/>
      <c r="G72" s="39"/>
    </row>
    <row r="73" spans="1:7">
      <c r="A73" s="40"/>
      <c r="B73" s="40"/>
      <c r="C73" s="40"/>
      <c r="D73" s="40"/>
      <c r="E73" s="40"/>
      <c r="F73" s="40"/>
      <c r="G73" s="40"/>
    </row>
    <row r="74" spans="1:7">
      <c r="A74" s="39"/>
      <c r="B74" s="39"/>
      <c r="C74" s="39"/>
      <c r="D74" s="39"/>
      <c r="E74" s="39"/>
      <c r="F74" s="39"/>
      <c r="G74" s="39"/>
    </row>
    <row r="75" spans="1:7">
      <c r="A75" s="40"/>
      <c r="B75" s="40"/>
      <c r="C75" s="40"/>
      <c r="D75" s="40"/>
      <c r="E75" s="40"/>
      <c r="F75" s="40"/>
      <c r="G75" s="40"/>
    </row>
    <row r="76" spans="1:7">
      <c r="A76" s="39"/>
      <c r="B76" s="39"/>
      <c r="C76" s="39"/>
      <c r="D76" s="39"/>
      <c r="E76" s="39"/>
      <c r="F76" s="39"/>
      <c r="G76" s="39"/>
    </row>
    <row r="77" spans="1:7">
      <c r="A77" s="40"/>
      <c r="B77" s="40"/>
      <c r="C77" s="40"/>
      <c r="D77" s="40"/>
      <c r="E77" s="40"/>
      <c r="F77" s="40"/>
      <c r="G77" s="40"/>
    </row>
    <row r="78" spans="1:7">
      <c r="A78" s="39"/>
      <c r="B78" s="39"/>
      <c r="C78" s="39"/>
      <c r="D78" s="39"/>
      <c r="E78" s="39"/>
      <c r="F78" s="39"/>
      <c r="G78" s="39"/>
    </row>
    <row r="79" spans="1:7">
      <c r="A79" s="40"/>
      <c r="B79" s="40"/>
      <c r="C79" s="40"/>
      <c r="D79" s="40"/>
      <c r="E79" s="40"/>
      <c r="F79" s="40"/>
      <c r="G79" s="40"/>
    </row>
    <row r="80" spans="1:7">
      <c r="A80" s="39"/>
      <c r="B80" s="39"/>
      <c r="C80" s="39"/>
      <c r="D80" s="39"/>
      <c r="E80" s="39"/>
      <c r="F80" s="39"/>
      <c r="G80" s="39"/>
    </row>
    <row r="81" spans="1:7">
      <c r="A81" s="40"/>
      <c r="B81" s="40"/>
      <c r="C81" s="40"/>
      <c r="D81" s="40"/>
      <c r="E81" s="40"/>
      <c r="F81" s="40"/>
      <c r="G81" s="40"/>
    </row>
    <row r="82" spans="1:7">
      <c r="A82" s="39"/>
      <c r="B82" s="39"/>
      <c r="C82" s="39"/>
      <c r="D82" s="39"/>
      <c r="E82" s="39"/>
      <c r="F82" s="39"/>
      <c r="G82" s="39"/>
    </row>
    <row r="83" spans="1:7">
      <c r="A83" s="40"/>
      <c r="B83" s="40"/>
      <c r="C83" s="40"/>
      <c r="D83" s="40"/>
      <c r="E83" s="40"/>
      <c r="F83" s="40"/>
      <c r="G83" s="40"/>
    </row>
    <row r="84" spans="1:7">
      <c r="A84" s="39"/>
      <c r="B84" s="39"/>
      <c r="C84" s="39"/>
      <c r="D84" s="39"/>
      <c r="E84" s="39"/>
      <c r="F84" s="39"/>
      <c r="G84" s="39"/>
    </row>
    <row r="85" spans="1:7">
      <c r="A85" s="40"/>
      <c r="B85" s="40"/>
      <c r="C85" s="40"/>
      <c r="D85" s="40"/>
      <c r="E85" s="40"/>
      <c r="F85" s="40"/>
      <c r="G85" s="40"/>
    </row>
    <row r="86" spans="1:7">
      <c r="A86" s="39"/>
      <c r="B86" s="39"/>
      <c r="C86" s="39"/>
      <c r="D86" s="39"/>
      <c r="E86" s="39"/>
      <c r="F86" s="39"/>
      <c r="G86" s="39"/>
    </row>
    <row r="87" spans="1:7">
      <c r="A87" s="40"/>
      <c r="B87" s="40"/>
      <c r="C87" s="40"/>
      <c r="D87" s="40"/>
      <c r="E87" s="40"/>
      <c r="F87" s="40"/>
      <c r="G87" s="40"/>
    </row>
    <row r="88" spans="1:7">
      <c r="A88" s="39"/>
      <c r="B88" s="39"/>
      <c r="C88" s="39"/>
      <c r="D88" s="39"/>
      <c r="E88" s="39"/>
      <c r="F88" s="39"/>
      <c r="G88" s="39"/>
    </row>
    <row r="89" spans="1:7">
      <c r="A89" s="40"/>
      <c r="B89" s="40"/>
      <c r="C89" s="40"/>
      <c r="D89" s="40"/>
      <c r="E89" s="40"/>
      <c r="F89" s="40"/>
      <c r="G89" s="40"/>
    </row>
    <row r="90" spans="1:7">
      <c r="A90" s="39"/>
      <c r="B90" s="39"/>
      <c r="C90" s="39"/>
      <c r="D90" s="39"/>
      <c r="E90" s="39"/>
      <c r="F90" s="39"/>
      <c r="G90" s="39"/>
    </row>
    <row r="91" spans="1:7">
      <c r="A91" s="40"/>
      <c r="B91" s="40"/>
      <c r="C91" s="40"/>
      <c r="D91" s="40"/>
      <c r="E91" s="40"/>
      <c r="F91" s="40"/>
      <c r="G91" s="40"/>
    </row>
    <row r="92" spans="1:7">
      <c r="A92" s="39"/>
      <c r="B92" s="39"/>
      <c r="C92" s="39"/>
      <c r="D92" s="39"/>
      <c r="E92" s="39"/>
      <c r="F92" s="39"/>
      <c r="G92" s="39"/>
    </row>
    <row r="93" spans="1:7">
      <c r="A93" s="40"/>
      <c r="B93" s="40"/>
      <c r="C93" s="40"/>
      <c r="D93" s="40"/>
      <c r="E93" s="40"/>
      <c r="F93" s="40"/>
      <c r="G93" s="40"/>
    </row>
    <row r="94" spans="1:7">
      <c r="A94" s="39"/>
      <c r="B94" s="39"/>
      <c r="C94" s="39"/>
      <c r="D94" s="39"/>
      <c r="E94" s="39"/>
      <c r="F94" s="39"/>
      <c r="G94" s="39"/>
    </row>
    <row r="95" spans="1:7">
      <c r="A95" s="40"/>
      <c r="B95" s="40"/>
      <c r="C95" s="40"/>
      <c r="D95" s="40"/>
      <c r="E95" s="40"/>
      <c r="F95" s="40"/>
      <c r="G95" s="40"/>
    </row>
    <row r="96" spans="1:7">
      <c r="A96" s="39"/>
      <c r="B96" s="39"/>
      <c r="C96" s="39"/>
      <c r="D96" s="39"/>
      <c r="E96" s="39"/>
      <c r="F96" s="39"/>
      <c r="G96" s="39"/>
    </row>
    <row r="97" spans="1:7">
      <c r="A97" s="40"/>
      <c r="B97" s="40"/>
      <c r="C97" s="40"/>
      <c r="D97" s="40"/>
      <c r="E97" s="40"/>
      <c r="F97" s="40"/>
      <c r="G97" s="40"/>
    </row>
    <row r="98" spans="1:7">
      <c r="A98" s="39"/>
      <c r="B98" s="39"/>
      <c r="C98" s="39"/>
      <c r="D98" s="39"/>
      <c r="E98" s="39"/>
      <c r="F98" s="39"/>
      <c r="G98" s="39"/>
    </row>
    <row r="99" spans="1:7">
      <c r="A99" s="40"/>
      <c r="B99" s="40"/>
      <c r="C99" s="40"/>
      <c r="D99" s="40"/>
      <c r="E99" s="40"/>
      <c r="F99" s="40"/>
      <c r="G99" s="40"/>
    </row>
    <row r="100" spans="1:7">
      <c r="A100" s="39"/>
      <c r="B100" s="39"/>
      <c r="C100" s="39"/>
      <c r="D100" s="39"/>
      <c r="E100" s="39"/>
      <c r="F100" s="39"/>
      <c r="G100" s="39"/>
    </row>
    <row r="101" spans="1:7">
      <c r="A101" s="40"/>
      <c r="B101" s="40"/>
      <c r="C101" s="40"/>
      <c r="D101" s="40"/>
      <c r="E101" s="40"/>
      <c r="F101" s="40"/>
      <c r="G101" s="40"/>
    </row>
    <row r="102" spans="1:7">
      <c r="A102" s="39"/>
      <c r="B102" s="39"/>
      <c r="C102" s="39"/>
      <c r="D102" s="39"/>
      <c r="E102" s="39"/>
      <c r="F102" s="39"/>
      <c r="G102" s="39"/>
    </row>
    <row r="103" spans="1:7">
      <c r="A103" s="40"/>
      <c r="B103" s="40"/>
      <c r="C103" s="40"/>
      <c r="D103" s="40"/>
      <c r="E103" s="40"/>
      <c r="F103" s="40"/>
      <c r="G103" s="40"/>
    </row>
    <row r="104" spans="1:7">
      <c r="A104" s="39"/>
      <c r="B104" s="39"/>
      <c r="C104" s="39"/>
      <c r="D104" s="39"/>
      <c r="E104" s="39"/>
      <c r="F104" s="39"/>
      <c r="G104" s="39"/>
    </row>
    <row r="105" spans="1:7">
      <c r="A105" s="40"/>
      <c r="B105" s="40"/>
      <c r="C105" s="40"/>
      <c r="D105" s="40"/>
      <c r="E105" s="40"/>
      <c r="F105" s="40"/>
      <c r="G105" s="40"/>
    </row>
    <row r="106" spans="1:7">
      <c r="A106" s="39"/>
      <c r="B106" s="39"/>
      <c r="C106" s="39"/>
      <c r="D106" s="39"/>
      <c r="E106" s="39"/>
      <c r="F106" s="39"/>
      <c r="G106" s="39"/>
    </row>
    <row r="107" spans="1:7">
      <c r="A107" s="40"/>
      <c r="B107" s="40"/>
      <c r="C107" s="40"/>
      <c r="D107" s="40"/>
      <c r="E107" s="40"/>
      <c r="F107" s="40"/>
      <c r="G107" s="40"/>
    </row>
    <row r="108" spans="1:7">
      <c r="A108" s="39"/>
      <c r="B108" s="39"/>
      <c r="C108" s="39"/>
      <c r="D108" s="39"/>
      <c r="E108" s="39"/>
      <c r="F108" s="39"/>
      <c r="G108" s="39"/>
    </row>
    <row r="109" spans="1:7">
      <c r="A109" s="40"/>
      <c r="B109" s="40"/>
      <c r="C109" s="40"/>
      <c r="D109" s="40"/>
      <c r="E109" s="40"/>
      <c r="F109" s="40"/>
      <c r="G109" s="40"/>
    </row>
    <row r="110" spans="1:7">
      <c r="A110" s="39"/>
      <c r="B110" s="39"/>
      <c r="C110" s="39"/>
      <c r="D110" s="39"/>
      <c r="E110" s="39"/>
      <c r="F110" s="39"/>
      <c r="G110" s="39"/>
    </row>
    <row r="111" spans="1:7">
      <c r="A111" s="40"/>
      <c r="B111" s="40"/>
      <c r="C111" s="40"/>
      <c r="D111" s="40"/>
      <c r="E111" s="40"/>
      <c r="F111" s="40"/>
      <c r="G111" s="40"/>
    </row>
    <row r="112" spans="1:7">
      <c r="A112" s="39"/>
      <c r="B112" s="39"/>
      <c r="C112" s="39"/>
      <c r="D112" s="39"/>
      <c r="E112" s="39"/>
      <c r="F112" s="39"/>
      <c r="G112" s="39"/>
    </row>
    <row r="113" spans="1:7">
      <c r="A113" s="40"/>
      <c r="B113" s="40"/>
      <c r="C113" s="40"/>
      <c r="D113" s="40"/>
      <c r="E113" s="40"/>
      <c r="F113" s="40"/>
      <c r="G113" s="40"/>
    </row>
    <row r="114" spans="1:7">
      <c r="A114" s="39"/>
      <c r="B114" s="39"/>
      <c r="C114" s="39"/>
      <c r="D114" s="39"/>
      <c r="E114" s="39"/>
      <c r="F114" s="39"/>
      <c r="G114" s="39"/>
    </row>
    <row r="115" spans="1:7">
      <c r="A115" s="40"/>
      <c r="B115" s="40"/>
      <c r="C115" s="40"/>
      <c r="D115" s="40"/>
      <c r="E115" s="40"/>
      <c r="F115" s="40"/>
      <c r="G115" s="40"/>
    </row>
    <row r="116" spans="1:7">
      <c r="A116" s="39"/>
      <c r="B116" s="39"/>
      <c r="C116" s="39"/>
      <c r="D116" s="39"/>
      <c r="E116" s="39"/>
      <c r="F116" s="39"/>
      <c r="G116" s="39"/>
    </row>
    <row r="117" spans="1:7">
      <c r="A117" s="40"/>
      <c r="B117" s="40"/>
      <c r="C117" s="40"/>
      <c r="D117" s="40"/>
      <c r="E117" s="40"/>
      <c r="F117" s="40"/>
      <c r="G117" s="40"/>
    </row>
    <row r="118" spans="1:7">
      <c r="A118" s="39"/>
      <c r="B118" s="39"/>
      <c r="C118" s="39"/>
      <c r="D118" s="39"/>
      <c r="E118" s="39"/>
      <c r="F118" s="39"/>
      <c r="G118" s="39"/>
    </row>
    <row r="119" spans="1:7">
      <c r="A119" s="40"/>
      <c r="B119" s="40"/>
      <c r="C119" s="40"/>
      <c r="D119" s="40"/>
      <c r="E119" s="40"/>
      <c r="F119" s="40"/>
      <c r="G119" s="40"/>
    </row>
    <row r="120" spans="1:7">
      <c r="A120" s="39"/>
      <c r="B120" s="39"/>
      <c r="C120" s="39"/>
      <c r="D120" s="39"/>
      <c r="E120" s="39"/>
      <c r="F120" s="39"/>
      <c r="G120" s="39"/>
    </row>
    <row r="121" spans="1:7">
      <c r="A121" s="40"/>
      <c r="B121" s="40"/>
      <c r="C121" s="40"/>
      <c r="D121" s="40"/>
      <c r="E121" s="40"/>
      <c r="F121" s="40"/>
      <c r="G121" s="40"/>
    </row>
    <row r="122" spans="1:7">
      <c r="A122" s="39"/>
      <c r="B122" s="39"/>
      <c r="C122" s="39"/>
      <c r="D122" s="39"/>
      <c r="E122" s="39"/>
      <c r="F122" s="39"/>
      <c r="G122" s="39"/>
    </row>
    <row r="123" spans="1:7">
      <c r="A123" s="40"/>
      <c r="B123" s="40"/>
      <c r="C123" s="40"/>
      <c r="D123" s="40"/>
      <c r="E123" s="40"/>
      <c r="F123" s="40"/>
      <c r="G123" s="40"/>
    </row>
    <row r="124" spans="1:7">
      <c r="A124" s="39"/>
      <c r="B124" s="39"/>
      <c r="C124" s="39"/>
      <c r="D124" s="39"/>
      <c r="E124" s="39"/>
      <c r="F124" s="39"/>
      <c r="G124" s="39"/>
    </row>
    <row r="125" spans="1:7">
      <c r="A125" s="40"/>
      <c r="B125" s="40"/>
      <c r="C125" s="40"/>
      <c r="D125" s="40"/>
      <c r="E125" s="40"/>
      <c r="F125" s="40"/>
      <c r="G125" s="40"/>
    </row>
    <row r="126" spans="1:7">
      <c r="A126" s="39"/>
      <c r="B126" s="39"/>
      <c r="C126" s="39"/>
      <c r="D126" s="39"/>
      <c r="E126" s="39"/>
      <c r="F126" s="39"/>
      <c r="G126" s="39"/>
    </row>
    <row r="127" spans="1:7">
      <c r="A127" s="40"/>
      <c r="B127" s="40"/>
      <c r="C127" s="40"/>
      <c r="D127" s="40"/>
      <c r="E127" s="40"/>
      <c r="F127" s="40"/>
      <c r="G127" s="40"/>
    </row>
    <row r="128" spans="1:7">
      <c r="A128" s="39"/>
      <c r="B128" s="39"/>
      <c r="C128" s="39"/>
      <c r="D128" s="39"/>
      <c r="E128" s="39"/>
      <c r="F128" s="39"/>
      <c r="G128" s="39"/>
    </row>
    <row r="129" spans="1:7">
      <c r="A129" s="40"/>
      <c r="B129" s="40"/>
      <c r="C129" s="40"/>
      <c r="D129" s="40"/>
      <c r="E129" s="40"/>
      <c r="F129" s="40"/>
      <c r="G129" s="40"/>
    </row>
    <row r="130" spans="1:7">
      <c r="A130" s="39"/>
      <c r="B130" s="39"/>
      <c r="C130" s="39"/>
      <c r="D130" s="39"/>
      <c r="E130" s="39"/>
      <c r="F130" s="39"/>
      <c r="G130" s="39"/>
    </row>
    <row r="131" spans="1:7">
      <c r="A131" s="40"/>
      <c r="B131" s="40"/>
      <c r="C131" s="40"/>
      <c r="D131" s="40"/>
      <c r="E131" s="40"/>
      <c r="F131" s="40"/>
      <c r="G131" s="40"/>
    </row>
    <row r="132" spans="1:7">
      <c r="A132" s="39"/>
      <c r="B132" s="39"/>
      <c r="C132" s="39"/>
      <c r="D132" s="39"/>
      <c r="E132" s="39"/>
      <c r="F132" s="39"/>
      <c r="G132" s="39"/>
    </row>
    <row r="133" spans="1:7">
      <c r="A133" s="40"/>
      <c r="B133" s="40"/>
      <c r="C133" s="40"/>
      <c r="D133" s="40"/>
      <c r="E133" s="40"/>
      <c r="F133" s="40"/>
      <c r="G133" s="40"/>
    </row>
    <row r="134" spans="1:7">
      <c r="A134" s="39"/>
      <c r="B134" s="39"/>
      <c r="C134" s="39"/>
      <c r="D134" s="39"/>
      <c r="E134" s="39"/>
      <c r="F134" s="39"/>
      <c r="G134" s="39"/>
    </row>
    <row r="135" spans="1:7">
      <c r="A135" s="40"/>
      <c r="B135" s="40"/>
      <c r="C135" s="40"/>
      <c r="D135" s="40"/>
      <c r="E135" s="40"/>
      <c r="F135" s="40"/>
      <c r="G135" s="40"/>
    </row>
    <row r="136" spans="1:7">
      <c r="A136" s="39"/>
      <c r="B136" s="39"/>
      <c r="C136" s="39"/>
      <c r="D136" s="39"/>
      <c r="E136" s="39"/>
      <c r="F136" s="39"/>
      <c r="G136" s="39"/>
    </row>
    <row r="137" spans="1:7">
      <c r="A137" s="40"/>
      <c r="B137" s="40"/>
      <c r="C137" s="40"/>
      <c r="D137" s="40"/>
      <c r="E137" s="40"/>
      <c r="F137" s="40"/>
      <c r="G137" s="40"/>
    </row>
    <row r="138" spans="1:7">
      <c r="A138" s="39"/>
      <c r="B138" s="39"/>
      <c r="C138" s="39"/>
      <c r="D138" s="39"/>
      <c r="E138" s="39"/>
      <c r="F138" s="39"/>
      <c r="G138" s="39"/>
    </row>
    <row r="139" spans="1:7">
      <c r="A139" s="40"/>
      <c r="B139" s="40"/>
      <c r="C139" s="40"/>
      <c r="D139" s="40"/>
      <c r="E139" s="40"/>
      <c r="F139" s="40"/>
      <c r="G139" s="40"/>
    </row>
    <row r="140" spans="1:7">
      <c r="A140" s="39"/>
      <c r="B140" s="39"/>
      <c r="C140" s="39"/>
      <c r="D140" s="39"/>
      <c r="E140" s="39"/>
      <c r="F140" s="39"/>
      <c r="G140" s="39"/>
    </row>
    <row r="141" spans="1:7">
      <c r="A141" s="40"/>
      <c r="B141" s="40"/>
      <c r="C141" s="40"/>
      <c r="D141" s="40"/>
      <c r="E141" s="40"/>
      <c r="F141" s="40"/>
      <c r="G141" s="40"/>
    </row>
    <row r="142" spans="1:7">
      <c r="A142" s="39"/>
      <c r="B142" s="39"/>
      <c r="C142" s="39"/>
      <c r="D142" s="39"/>
      <c r="E142" s="39"/>
      <c r="F142" s="39"/>
      <c r="G142" s="39"/>
    </row>
    <row r="143" spans="1:7">
      <c r="A143" s="40"/>
      <c r="B143" s="40"/>
      <c r="C143" s="40"/>
      <c r="D143" s="40"/>
      <c r="E143" s="40"/>
      <c r="F143" s="40"/>
      <c r="G143" s="40"/>
    </row>
    <row r="144" spans="1:7">
      <c r="A144" s="39"/>
      <c r="B144" s="39"/>
      <c r="C144" s="39"/>
      <c r="D144" s="39"/>
      <c r="E144" s="39"/>
      <c r="F144" s="39"/>
      <c r="G144" s="39"/>
    </row>
    <row r="145" spans="1:7">
      <c r="A145" s="40"/>
      <c r="B145" s="40"/>
      <c r="C145" s="40"/>
      <c r="D145" s="40"/>
      <c r="E145" s="40"/>
      <c r="F145" s="40"/>
      <c r="G145" s="40"/>
    </row>
    <row r="146" spans="1:7">
      <c r="A146" s="39"/>
      <c r="B146" s="39"/>
      <c r="C146" s="39"/>
      <c r="D146" s="39"/>
      <c r="E146" s="39"/>
      <c r="F146" s="39"/>
      <c r="G146" s="39"/>
    </row>
    <row r="147" spans="1:7">
      <c r="A147" s="40"/>
      <c r="B147" s="40"/>
      <c r="C147" s="40"/>
      <c r="D147" s="40"/>
      <c r="E147" s="40"/>
      <c r="F147" s="40"/>
      <c r="G147" s="40"/>
    </row>
    <row r="148" spans="1:7">
      <c r="A148" s="39"/>
      <c r="B148" s="39"/>
      <c r="C148" s="39"/>
      <c r="D148" s="39"/>
      <c r="E148" s="39"/>
      <c r="F148" s="39"/>
      <c r="G148" s="39"/>
    </row>
    <row r="149" spans="1:7">
      <c r="A149" s="40"/>
      <c r="B149" s="40"/>
      <c r="C149" s="40"/>
      <c r="D149" s="40"/>
      <c r="E149" s="40"/>
      <c r="F149" s="40"/>
      <c r="G149" s="40"/>
    </row>
    <row r="150" spans="1:7">
      <c r="A150" s="39"/>
      <c r="B150" s="39"/>
      <c r="C150" s="39"/>
      <c r="D150" s="39"/>
      <c r="E150" s="39"/>
      <c r="F150" s="39"/>
      <c r="G150" s="39"/>
    </row>
    <row r="151" spans="1:7">
      <c r="A151" s="40"/>
      <c r="B151" s="40"/>
      <c r="C151" s="40"/>
      <c r="D151" s="40"/>
      <c r="E151" s="40"/>
      <c r="F151" s="40"/>
      <c r="G151" s="40"/>
    </row>
    <row r="152" spans="1:7">
      <c r="A152" s="39"/>
      <c r="B152" s="39"/>
      <c r="C152" s="39"/>
      <c r="D152" s="39"/>
      <c r="E152" s="39"/>
      <c r="F152" s="39"/>
      <c r="G152" s="39"/>
    </row>
    <row r="153" spans="1:7">
      <c r="A153" s="40"/>
      <c r="B153" s="40"/>
      <c r="C153" s="40"/>
      <c r="D153" s="40"/>
      <c r="E153" s="40"/>
      <c r="F153" s="40"/>
      <c r="G153" s="40"/>
    </row>
    <row r="154" spans="1:7">
      <c r="A154" s="39"/>
      <c r="B154" s="39"/>
      <c r="C154" s="39"/>
      <c r="D154" s="39"/>
      <c r="E154" s="39"/>
      <c r="F154" s="39"/>
      <c r="G154" s="39"/>
    </row>
    <row r="155" spans="1:7">
      <c r="A155" s="40"/>
      <c r="B155" s="40"/>
      <c r="C155" s="40"/>
      <c r="D155" s="40"/>
      <c r="E155" s="40"/>
      <c r="F155" s="40"/>
      <c r="G155" s="40"/>
    </row>
    <row r="156" spans="1:7">
      <c r="A156" s="39"/>
      <c r="B156" s="39"/>
      <c r="C156" s="39"/>
      <c r="D156" s="39"/>
      <c r="E156" s="39"/>
      <c r="F156" s="39"/>
      <c r="G156" s="39"/>
    </row>
    <row r="157" spans="1:7">
      <c r="A157" s="40"/>
      <c r="B157" s="40"/>
      <c r="C157" s="40"/>
      <c r="D157" s="40"/>
      <c r="E157" s="40"/>
      <c r="F157" s="40"/>
      <c r="G157" s="40"/>
    </row>
    <row r="158" spans="1:7">
      <c r="A158" s="39"/>
      <c r="B158" s="39"/>
      <c r="C158" s="39"/>
      <c r="D158" s="39"/>
      <c r="E158" s="39"/>
      <c r="F158" s="39"/>
      <c r="G158" s="39"/>
    </row>
    <row r="159" spans="1:7">
      <c r="A159" s="40"/>
      <c r="B159" s="40"/>
      <c r="C159" s="40"/>
      <c r="D159" s="40"/>
      <c r="E159" s="40"/>
      <c r="F159" s="40"/>
      <c r="G159" s="40"/>
    </row>
    <row r="160" spans="1:7">
      <c r="A160" s="39"/>
      <c r="B160" s="39"/>
      <c r="C160" s="39"/>
      <c r="D160" s="39"/>
      <c r="E160" s="39"/>
      <c r="F160" s="39"/>
      <c r="G160" s="39"/>
    </row>
    <row r="161" spans="1:7">
      <c r="A161" s="40"/>
      <c r="B161" s="40"/>
      <c r="C161" s="40"/>
      <c r="D161" s="40"/>
      <c r="E161" s="40"/>
      <c r="F161" s="40"/>
      <c r="G161" s="40"/>
    </row>
    <row r="162" spans="1:7">
      <c r="A162" s="39"/>
      <c r="B162" s="39"/>
      <c r="C162" s="39"/>
      <c r="D162" s="39"/>
      <c r="E162" s="39"/>
      <c r="F162" s="39"/>
      <c r="G162" s="39"/>
    </row>
    <row r="163" spans="1:7">
      <c r="A163" s="40"/>
      <c r="B163" s="40"/>
      <c r="C163" s="40"/>
      <c r="D163" s="40"/>
      <c r="E163" s="40"/>
      <c r="F163" s="40"/>
      <c r="G163" s="40"/>
    </row>
    <row r="164" spans="1:7">
      <c r="A164" s="39"/>
      <c r="B164" s="39"/>
      <c r="C164" s="39"/>
      <c r="D164" s="39"/>
      <c r="E164" s="39"/>
      <c r="F164" s="39"/>
      <c r="G164" s="39"/>
    </row>
    <row r="165" spans="1:7">
      <c r="A165" s="40"/>
      <c r="B165" s="40"/>
      <c r="C165" s="40"/>
      <c r="D165" s="40"/>
      <c r="E165" s="40"/>
      <c r="F165" s="40"/>
      <c r="G165" s="40"/>
    </row>
    <row r="166" spans="1:7">
      <c r="A166" s="39"/>
      <c r="B166" s="39"/>
      <c r="C166" s="39"/>
      <c r="D166" s="39"/>
      <c r="E166" s="39"/>
      <c r="F166" s="39"/>
      <c r="G166" s="39"/>
    </row>
    <row r="167" spans="1:7">
      <c r="A167" s="40"/>
      <c r="B167" s="40"/>
      <c r="C167" s="40"/>
      <c r="D167" s="40"/>
      <c r="E167" s="40"/>
      <c r="F167" s="40"/>
      <c r="G167" s="40"/>
    </row>
    <row r="168" spans="1:7">
      <c r="A168" s="39"/>
      <c r="B168" s="39"/>
      <c r="C168" s="39"/>
      <c r="D168" s="39"/>
      <c r="E168" s="39"/>
      <c r="F168" s="39"/>
      <c r="G168" s="39"/>
    </row>
    <row r="169" spans="1:7">
      <c r="A169" s="40"/>
      <c r="B169" s="40"/>
      <c r="C169" s="40"/>
      <c r="D169" s="40"/>
      <c r="E169" s="40"/>
      <c r="F169" s="40"/>
      <c r="G169" s="40"/>
    </row>
    <row r="170" spans="1:7">
      <c r="A170" s="39"/>
      <c r="B170" s="39"/>
      <c r="C170" s="39"/>
      <c r="D170" s="39"/>
      <c r="E170" s="39"/>
      <c r="F170" s="39"/>
      <c r="G170" s="39"/>
    </row>
    <row r="171" spans="1:7">
      <c r="A171" s="40"/>
      <c r="B171" s="40"/>
      <c r="C171" s="40"/>
      <c r="D171" s="40"/>
      <c r="E171" s="40"/>
      <c r="F171" s="40"/>
      <c r="G171" s="40"/>
    </row>
    <row r="172" spans="1:7">
      <c r="A172" s="39"/>
      <c r="B172" s="39"/>
      <c r="C172" s="39"/>
      <c r="D172" s="39"/>
      <c r="E172" s="39"/>
      <c r="F172" s="39"/>
      <c r="G172" s="39"/>
    </row>
    <row r="173" spans="1:7">
      <c r="A173" s="40"/>
      <c r="B173" s="40"/>
      <c r="C173" s="40"/>
      <c r="D173" s="40"/>
      <c r="E173" s="40"/>
      <c r="F173" s="40"/>
      <c r="G173" s="40"/>
    </row>
    <row r="174" spans="1:7">
      <c r="A174" s="39"/>
      <c r="B174" s="39"/>
      <c r="C174" s="39"/>
      <c r="D174" s="39"/>
      <c r="E174" s="39"/>
      <c r="F174" s="39"/>
      <c r="G174" s="39"/>
    </row>
    <row r="175" spans="1:7">
      <c r="A175" s="40"/>
      <c r="B175" s="40"/>
      <c r="C175" s="40"/>
      <c r="D175" s="40"/>
      <c r="E175" s="40"/>
      <c r="F175" s="40"/>
      <c r="G175" s="40"/>
    </row>
    <row r="176" spans="1:7">
      <c r="A176" s="39"/>
      <c r="B176" s="39"/>
      <c r="C176" s="39"/>
      <c r="D176" s="39"/>
      <c r="E176" s="39"/>
      <c r="F176" s="39"/>
      <c r="G176" s="39"/>
    </row>
    <row r="177" spans="1:7">
      <c r="A177" s="40"/>
      <c r="B177" s="40"/>
      <c r="C177" s="40"/>
      <c r="D177" s="40"/>
      <c r="E177" s="40"/>
      <c r="F177" s="40"/>
      <c r="G177" s="40"/>
    </row>
    <row r="178" spans="1:7">
      <c r="A178" s="39"/>
      <c r="B178" s="39"/>
      <c r="C178" s="39"/>
      <c r="D178" s="39"/>
      <c r="E178" s="39"/>
      <c r="F178" s="39"/>
      <c r="G178" s="39"/>
    </row>
    <row r="179" spans="1:7">
      <c r="A179" s="40"/>
      <c r="B179" s="40"/>
      <c r="C179" s="40"/>
      <c r="D179" s="40"/>
      <c r="E179" s="40"/>
      <c r="F179" s="40"/>
      <c r="G179" s="40"/>
    </row>
    <row r="180" spans="1:7">
      <c r="A180" s="39"/>
      <c r="B180" s="39"/>
      <c r="C180" s="39"/>
      <c r="D180" s="39"/>
      <c r="E180" s="39"/>
      <c r="F180" s="39"/>
      <c r="G180" s="39"/>
    </row>
    <row r="181" spans="1:7">
      <c r="A181" s="40"/>
      <c r="B181" s="40"/>
      <c r="C181" s="40"/>
      <c r="D181" s="40"/>
      <c r="E181" s="40"/>
      <c r="F181" s="40"/>
      <c r="G181" s="40"/>
    </row>
    <row r="182" spans="1:7">
      <c r="A182" s="39"/>
      <c r="B182" s="39"/>
      <c r="C182" s="39"/>
      <c r="D182" s="39"/>
      <c r="E182" s="39"/>
      <c r="F182" s="39"/>
      <c r="G182" s="39"/>
    </row>
    <row r="183" spans="1:7">
      <c r="A183" s="40"/>
      <c r="B183" s="40"/>
      <c r="C183" s="40"/>
      <c r="D183" s="40"/>
      <c r="E183" s="40"/>
      <c r="F183" s="40"/>
      <c r="G183" s="40"/>
    </row>
    <row r="184" spans="1:7">
      <c r="A184" s="39"/>
      <c r="B184" s="39"/>
      <c r="C184" s="39"/>
      <c r="D184" s="39"/>
      <c r="E184" s="39"/>
      <c r="F184" s="39"/>
      <c r="G184" s="39"/>
    </row>
    <row r="185" spans="1:7">
      <c r="A185" s="40"/>
      <c r="B185" s="40"/>
      <c r="C185" s="40"/>
      <c r="D185" s="40"/>
      <c r="E185" s="40"/>
      <c r="F185" s="40"/>
      <c r="G185" s="40"/>
    </row>
    <row r="186" spans="1:7">
      <c r="A186" s="39"/>
      <c r="B186" s="39"/>
      <c r="C186" s="39"/>
      <c r="D186" s="39"/>
      <c r="E186" s="39"/>
      <c r="F186" s="39"/>
      <c r="G186" s="39"/>
    </row>
    <row r="187" spans="1:7">
      <c r="A187" s="40"/>
      <c r="B187" s="40"/>
      <c r="C187" s="40"/>
      <c r="D187" s="40"/>
      <c r="E187" s="40"/>
      <c r="F187" s="40"/>
      <c r="G187" s="40"/>
    </row>
    <row r="188" spans="1:7">
      <c r="A188" s="39"/>
      <c r="B188" s="39"/>
      <c r="C188" s="39"/>
      <c r="D188" s="39"/>
      <c r="E188" s="39"/>
      <c r="F188" s="39"/>
      <c r="G188" s="39"/>
    </row>
    <row r="189" spans="1:7">
      <c r="A189" s="40"/>
      <c r="B189" s="40"/>
      <c r="C189" s="40"/>
      <c r="D189" s="40"/>
      <c r="E189" s="40"/>
      <c r="F189" s="40"/>
      <c r="G189" s="40"/>
    </row>
    <row r="190" spans="1:7">
      <c r="A190" s="39"/>
      <c r="B190" s="39"/>
      <c r="C190" s="39"/>
      <c r="D190" s="39"/>
      <c r="E190" s="39"/>
      <c r="F190" s="39"/>
      <c r="G190" s="39"/>
    </row>
    <row r="191" spans="1:7">
      <c r="A191" s="40"/>
      <c r="B191" s="40"/>
      <c r="C191" s="40"/>
      <c r="D191" s="40"/>
      <c r="E191" s="40"/>
      <c r="F191" s="40"/>
      <c r="G191" s="40"/>
    </row>
    <row r="192" spans="1:7">
      <c r="A192" s="39"/>
      <c r="B192" s="39"/>
      <c r="C192" s="39"/>
      <c r="D192" s="39"/>
      <c r="E192" s="39"/>
      <c r="F192" s="39"/>
      <c r="G192" s="39"/>
    </row>
    <row r="193" spans="1:7">
      <c r="A193" s="40"/>
      <c r="B193" s="40"/>
      <c r="C193" s="40"/>
      <c r="D193" s="40"/>
      <c r="E193" s="40"/>
      <c r="F193" s="40"/>
      <c r="G193" s="40"/>
    </row>
    <row r="194" spans="1:7">
      <c r="A194" s="39"/>
      <c r="B194" s="39"/>
      <c r="C194" s="39"/>
      <c r="D194" s="39"/>
      <c r="E194" s="39"/>
      <c r="F194" s="39"/>
      <c r="G194" s="39"/>
    </row>
    <row r="195" spans="1:7">
      <c r="A195" s="40"/>
      <c r="B195" s="40"/>
      <c r="C195" s="40"/>
      <c r="D195" s="40"/>
      <c r="E195" s="40"/>
      <c r="F195" s="40"/>
      <c r="G195" s="40"/>
    </row>
    <row r="196" spans="1:7">
      <c r="A196" s="39"/>
      <c r="B196" s="39"/>
      <c r="C196" s="39"/>
      <c r="D196" s="39"/>
      <c r="E196" s="39"/>
      <c r="F196" s="39"/>
      <c r="G196" s="39"/>
    </row>
    <row r="197" spans="1:7">
      <c r="A197" s="40"/>
      <c r="B197" s="40"/>
      <c r="C197" s="40"/>
      <c r="D197" s="40"/>
      <c r="E197" s="40"/>
      <c r="F197" s="40"/>
      <c r="G197" s="40"/>
    </row>
    <row r="198" spans="1:7">
      <c r="A198" s="39"/>
      <c r="B198" s="39"/>
      <c r="C198" s="39"/>
      <c r="D198" s="39"/>
      <c r="E198" s="39"/>
      <c r="F198" s="39"/>
      <c r="G198" s="39"/>
    </row>
    <row r="199" spans="1:7">
      <c r="A199" s="40"/>
      <c r="B199" s="40"/>
      <c r="C199" s="40"/>
      <c r="D199" s="40"/>
      <c r="E199" s="40"/>
      <c r="F199" s="40"/>
      <c r="G199" s="40"/>
    </row>
    <row r="200" spans="1:7">
      <c r="A200" s="39"/>
      <c r="B200" s="39"/>
      <c r="C200" s="39"/>
      <c r="D200" s="39"/>
      <c r="E200" s="39"/>
      <c r="F200" s="39"/>
      <c r="G200" s="39"/>
    </row>
    <row r="201" spans="1:7">
      <c r="A201" s="40"/>
      <c r="B201" s="40"/>
      <c r="C201" s="40"/>
      <c r="D201" s="40"/>
      <c r="E201" s="40"/>
      <c r="F201" s="40"/>
      <c r="G201" s="40"/>
    </row>
    <row r="202" spans="1:7">
      <c r="A202" s="39"/>
      <c r="B202" s="39"/>
      <c r="C202" s="39"/>
      <c r="D202" s="39"/>
      <c r="E202" s="39"/>
      <c r="F202" s="39"/>
      <c r="G202" s="39"/>
    </row>
    <row r="203" spans="1:7">
      <c r="A203" s="40"/>
      <c r="B203" s="40"/>
      <c r="C203" s="40"/>
      <c r="D203" s="40"/>
      <c r="E203" s="40"/>
      <c r="F203" s="40"/>
      <c r="G203" s="40"/>
    </row>
    <row r="204" spans="1:7">
      <c r="A204" s="39"/>
      <c r="B204" s="39"/>
      <c r="C204" s="39"/>
      <c r="D204" s="39"/>
      <c r="E204" s="39"/>
      <c r="F204" s="39"/>
      <c r="G204" s="39"/>
    </row>
    <row r="205" spans="1:7">
      <c r="A205" s="40"/>
      <c r="B205" s="40"/>
      <c r="C205" s="40"/>
      <c r="D205" s="40"/>
      <c r="E205" s="40"/>
      <c r="F205" s="40"/>
      <c r="G205" s="40"/>
    </row>
    <row r="206" spans="1:7">
      <c r="A206" s="39"/>
      <c r="B206" s="39"/>
      <c r="C206" s="39"/>
      <c r="D206" s="39"/>
      <c r="E206" s="39"/>
      <c r="F206" s="39"/>
      <c r="G206" s="39"/>
    </row>
    <row r="207" spans="1:7">
      <c r="A207" s="40"/>
      <c r="B207" s="40"/>
      <c r="C207" s="40"/>
      <c r="D207" s="40"/>
      <c r="E207" s="40"/>
      <c r="F207" s="40"/>
      <c r="G207" s="40"/>
    </row>
    <row r="208" spans="1:7">
      <c r="A208" s="39"/>
      <c r="B208" s="39"/>
      <c r="C208" s="39"/>
      <c r="D208" s="39"/>
      <c r="E208" s="39"/>
      <c r="F208" s="39"/>
      <c r="G208" s="39"/>
    </row>
    <row r="209" spans="1:7">
      <c r="A209" s="40"/>
      <c r="B209" s="40"/>
      <c r="C209" s="40"/>
      <c r="D209" s="40"/>
      <c r="E209" s="40"/>
      <c r="F209" s="40"/>
      <c r="G209" s="40"/>
    </row>
    <row r="210" spans="1:7">
      <c r="A210" s="39"/>
      <c r="B210" s="39"/>
      <c r="C210" s="39"/>
      <c r="D210" s="39"/>
      <c r="E210" s="39"/>
      <c r="F210" s="39"/>
      <c r="G210" s="39"/>
    </row>
    <row r="211" spans="1:7">
      <c r="A211" s="40"/>
      <c r="B211" s="40"/>
      <c r="C211" s="40"/>
      <c r="D211" s="40"/>
      <c r="E211" s="40"/>
      <c r="F211" s="40"/>
      <c r="G211" s="40"/>
    </row>
    <row r="212" spans="1:7">
      <c r="A212" s="39"/>
      <c r="B212" s="39"/>
      <c r="C212" s="39"/>
      <c r="D212" s="39"/>
      <c r="E212" s="39"/>
      <c r="F212" s="39"/>
      <c r="G212" s="39"/>
    </row>
    <row r="213" spans="1:7">
      <c r="A213" s="40"/>
      <c r="B213" s="40"/>
      <c r="C213" s="40"/>
      <c r="D213" s="40"/>
      <c r="E213" s="40"/>
      <c r="F213" s="40"/>
      <c r="G213" s="40"/>
    </row>
    <row r="214" spans="1:7">
      <c r="A214" s="39"/>
      <c r="B214" s="39"/>
      <c r="C214" s="39"/>
      <c r="D214" s="39"/>
      <c r="E214" s="39"/>
      <c r="F214" s="39"/>
      <c r="G214" s="39"/>
    </row>
    <row r="215" spans="1:7">
      <c r="A215" s="40"/>
      <c r="B215" s="40"/>
      <c r="C215" s="40"/>
      <c r="D215" s="40"/>
      <c r="E215" s="40"/>
      <c r="F215" s="40"/>
      <c r="G215" s="40"/>
    </row>
    <row r="216" spans="1:7">
      <c r="A216" s="39"/>
      <c r="B216" s="39"/>
      <c r="C216" s="39"/>
      <c r="D216" s="39"/>
      <c r="E216" s="39"/>
      <c r="F216" s="39"/>
      <c r="G216" s="39"/>
    </row>
    <row r="217" spans="1:7">
      <c r="A217" s="40"/>
      <c r="B217" s="40"/>
      <c r="C217" s="40"/>
      <c r="D217" s="40"/>
      <c r="E217" s="40"/>
      <c r="F217" s="40"/>
      <c r="G217" s="40"/>
    </row>
    <row r="218" spans="1:7">
      <c r="A218" s="39"/>
      <c r="B218" s="39"/>
      <c r="C218" s="39"/>
      <c r="D218" s="39"/>
      <c r="E218" s="39"/>
      <c r="F218" s="39"/>
      <c r="G218" s="39"/>
    </row>
    <row r="219" spans="1:7">
      <c r="A219" s="40"/>
      <c r="B219" s="40"/>
      <c r="C219" s="40"/>
      <c r="D219" s="40"/>
      <c r="E219" s="40"/>
      <c r="F219" s="40"/>
      <c r="G219" s="40"/>
    </row>
    <row r="220" spans="1:7">
      <c r="A220" s="39"/>
      <c r="B220" s="39"/>
      <c r="C220" s="39"/>
      <c r="D220" s="39"/>
      <c r="E220" s="39"/>
      <c r="F220" s="39"/>
      <c r="G220" s="39"/>
    </row>
    <row r="221" spans="1:7">
      <c r="A221" s="40"/>
      <c r="B221" s="40"/>
      <c r="C221" s="40"/>
      <c r="D221" s="40"/>
      <c r="E221" s="40"/>
      <c r="F221" s="40"/>
      <c r="G221" s="40"/>
    </row>
    <row r="222" spans="1:7">
      <c r="A222" s="39"/>
      <c r="B222" s="39"/>
      <c r="C222" s="39"/>
      <c r="D222" s="39"/>
      <c r="E222" s="39"/>
      <c r="F222" s="39"/>
      <c r="G222" s="39"/>
    </row>
    <row r="223" spans="1:7">
      <c r="A223" s="40"/>
      <c r="B223" s="40"/>
      <c r="C223" s="40"/>
      <c r="D223" s="40"/>
      <c r="E223" s="40"/>
      <c r="F223" s="40"/>
      <c r="G223" s="40"/>
    </row>
    <row r="224" spans="1:7">
      <c r="A224" s="39"/>
      <c r="B224" s="39"/>
      <c r="C224" s="39"/>
      <c r="D224" s="39"/>
      <c r="E224" s="39"/>
      <c r="F224" s="39"/>
      <c r="G224" s="39"/>
    </row>
    <row r="225" spans="1:7">
      <c r="A225" s="40"/>
      <c r="B225" s="40"/>
      <c r="C225" s="40"/>
      <c r="D225" s="40"/>
      <c r="E225" s="40"/>
      <c r="F225" s="40"/>
      <c r="G225" s="40"/>
    </row>
    <row r="226" spans="1:7">
      <c r="A226" s="39"/>
      <c r="B226" s="39"/>
      <c r="C226" s="39"/>
      <c r="D226" s="39"/>
      <c r="E226" s="39"/>
      <c r="F226" s="39"/>
      <c r="G226" s="39"/>
    </row>
    <row r="227" spans="1:7">
      <c r="A227" s="40"/>
      <c r="B227" s="40"/>
      <c r="C227" s="40"/>
      <c r="D227" s="40"/>
      <c r="E227" s="40"/>
      <c r="F227" s="40"/>
      <c r="G227" s="40"/>
    </row>
    <row r="228" spans="1:7">
      <c r="A228" s="39"/>
      <c r="B228" s="39"/>
      <c r="C228" s="39"/>
      <c r="D228" s="39"/>
      <c r="E228" s="39"/>
      <c r="F228" s="39"/>
      <c r="G228" s="39"/>
    </row>
    <row r="229" spans="1:7">
      <c r="A229" s="40"/>
      <c r="B229" s="40"/>
      <c r="C229" s="40"/>
      <c r="D229" s="40"/>
      <c r="E229" s="40"/>
      <c r="F229" s="40"/>
      <c r="G229" s="40"/>
    </row>
    <row r="230" spans="1:7">
      <c r="A230" s="39"/>
      <c r="B230" s="39"/>
      <c r="C230" s="39"/>
      <c r="D230" s="39"/>
      <c r="E230" s="39"/>
      <c r="F230" s="39"/>
      <c r="G230" s="39"/>
    </row>
    <row r="231" spans="1:7">
      <c r="A231" s="40"/>
      <c r="B231" s="40"/>
      <c r="C231" s="40"/>
      <c r="D231" s="40"/>
      <c r="E231" s="40"/>
      <c r="F231" s="40"/>
      <c r="G231" s="40"/>
    </row>
    <row r="232" spans="1:7">
      <c r="A232" s="39"/>
      <c r="B232" s="39"/>
      <c r="C232" s="39"/>
      <c r="D232" s="39"/>
      <c r="E232" s="39"/>
      <c r="F232" s="39"/>
      <c r="G232" s="39"/>
    </row>
    <row r="233" spans="1:7">
      <c r="A233" s="40"/>
      <c r="B233" s="40"/>
      <c r="C233" s="40"/>
      <c r="D233" s="40"/>
      <c r="E233" s="40"/>
      <c r="F233" s="40"/>
      <c r="G233" s="40"/>
    </row>
    <row r="234" spans="1:7">
      <c r="A234" s="39"/>
      <c r="B234" s="39"/>
      <c r="C234" s="39"/>
      <c r="D234" s="39"/>
      <c r="E234" s="39"/>
      <c r="F234" s="39"/>
      <c r="G234" s="39"/>
    </row>
    <row r="235" spans="1:7">
      <c r="A235" s="40"/>
      <c r="B235" s="40"/>
      <c r="C235" s="40"/>
      <c r="D235" s="40"/>
      <c r="E235" s="40"/>
      <c r="F235" s="40"/>
      <c r="G235" s="40"/>
    </row>
    <row r="236" spans="1:7">
      <c r="A236" s="39"/>
      <c r="B236" s="39"/>
      <c r="C236" s="39"/>
      <c r="D236" s="39"/>
      <c r="E236" s="39"/>
      <c r="F236" s="39"/>
      <c r="G236" s="39"/>
    </row>
    <row r="237" spans="1:7">
      <c r="A237" s="40"/>
      <c r="B237" s="40"/>
      <c r="C237" s="40"/>
      <c r="D237" s="40"/>
      <c r="E237" s="40"/>
      <c r="F237" s="40"/>
      <c r="G237" s="40"/>
    </row>
    <row r="238" spans="1:7">
      <c r="A238" s="39"/>
      <c r="B238" s="39"/>
      <c r="C238" s="39"/>
      <c r="D238" s="39"/>
      <c r="E238" s="39"/>
      <c r="F238" s="39"/>
      <c r="G238" s="39"/>
    </row>
    <row r="239" spans="1:7">
      <c r="A239" s="40"/>
      <c r="B239" s="40"/>
      <c r="C239" s="40"/>
      <c r="D239" s="40"/>
      <c r="E239" s="40"/>
      <c r="F239" s="40"/>
      <c r="G239" s="40"/>
    </row>
    <row r="240" spans="1:7">
      <c r="A240" s="39"/>
      <c r="B240" s="39"/>
      <c r="C240" s="39"/>
      <c r="D240" s="39"/>
      <c r="E240" s="39"/>
      <c r="F240" s="39"/>
      <c r="G240" s="39"/>
    </row>
    <row r="241" spans="1:7">
      <c r="A241" s="40"/>
      <c r="B241" s="40"/>
      <c r="C241" s="40"/>
      <c r="D241" s="40"/>
      <c r="E241" s="40"/>
      <c r="F241" s="40"/>
      <c r="G241" s="40"/>
    </row>
    <row r="242" spans="1:7">
      <c r="A242" s="39"/>
      <c r="B242" s="39"/>
      <c r="C242" s="39"/>
      <c r="D242" s="39"/>
      <c r="E242" s="39"/>
      <c r="F242" s="39"/>
      <c r="G242" s="39"/>
    </row>
    <row r="243" spans="1:7">
      <c r="A243" s="40"/>
      <c r="B243" s="40"/>
      <c r="C243" s="40"/>
      <c r="D243" s="40"/>
      <c r="E243" s="40"/>
      <c r="F243" s="40"/>
      <c r="G243" s="40"/>
    </row>
    <row r="244" spans="1:7">
      <c r="A244" s="39"/>
      <c r="B244" s="39"/>
      <c r="C244" s="39"/>
      <c r="D244" s="39"/>
      <c r="E244" s="39"/>
      <c r="F244" s="39"/>
      <c r="G244" s="39"/>
    </row>
    <row r="245" spans="1:7">
      <c r="A245" s="40"/>
      <c r="B245" s="40"/>
      <c r="C245" s="40"/>
      <c r="D245" s="40"/>
      <c r="E245" s="40"/>
      <c r="F245" s="40"/>
      <c r="G245" s="40"/>
    </row>
    <row r="246" spans="1:7">
      <c r="A246" s="39"/>
      <c r="B246" s="39"/>
      <c r="C246" s="39"/>
      <c r="D246" s="39"/>
      <c r="E246" s="39"/>
      <c r="F246" s="39"/>
      <c r="G246" s="39"/>
    </row>
    <row r="247" spans="1:7">
      <c r="A247" s="40"/>
      <c r="B247" s="40"/>
      <c r="C247" s="40"/>
      <c r="D247" s="40"/>
      <c r="E247" s="40"/>
      <c r="F247" s="40"/>
      <c r="G247" s="40"/>
    </row>
    <row r="248" spans="1:7">
      <c r="A248" s="39"/>
      <c r="B248" s="39"/>
      <c r="C248" s="39"/>
      <c r="D248" s="39"/>
      <c r="E248" s="39"/>
      <c r="F248" s="39"/>
      <c r="G248" s="39"/>
    </row>
    <row r="249" spans="1:7">
      <c r="A249" s="40"/>
      <c r="B249" s="40"/>
      <c r="C249" s="40"/>
      <c r="D249" s="40"/>
      <c r="E249" s="40"/>
      <c r="F249" s="40"/>
      <c r="G249" s="40"/>
    </row>
    <row r="250" spans="1:7">
      <c r="A250" s="39"/>
      <c r="B250" s="39"/>
      <c r="C250" s="39"/>
      <c r="D250" s="39"/>
      <c r="E250" s="39"/>
      <c r="F250" s="39"/>
      <c r="G250" s="39"/>
    </row>
    <row r="251" spans="1:7">
      <c r="A251" s="40"/>
      <c r="B251" s="40"/>
      <c r="C251" s="40"/>
      <c r="D251" s="40"/>
      <c r="E251" s="40"/>
      <c r="F251" s="40"/>
      <c r="G251" s="40"/>
    </row>
    <row r="252" spans="1:7">
      <c r="A252" s="39"/>
      <c r="B252" s="39"/>
      <c r="C252" s="39"/>
      <c r="D252" s="39"/>
      <c r="E252" s="39"/>
      <c r="F252" s="39"/>
      <c r="G252" s="39"/>
    </row>
    <row r="253" spans="1:7">
      <c r="A253" s="40"/>
      <c r="B253" s="40"/>
      <c r="C253" s="40"/>
      <c r="D253" s="40"/>
      <c r="E253" s="40"/>
      <c r="F253" s="40"/>
      <c r="G253" s="40"/>
    </row>
    <row r="254" spans="1:7">
      <c r="A254" s="39"/>
      <c r="B254" s="39"/>
      <c r="C254" s="39"/>
      <c r="D254" s="39"/>
      <c r="E254" s="39"/>
      <c r="F254" s="39"/>
      <c r="G254" s="39"/>
    </row>
    <row r="255" spans="1:7">
      <c r="A255" s="40"/>
      <c r="B255" s="40"/>
      <c r="C255" s="40"/>
      <c r="D255" s="40"/>
      <c r="E255" s="40"/>
      <c r="F255" s="40"/>
      <c r="G255" s="40"/>
    </row>
    <row r="256" spans="1:7">
      <c r="A256" s="39"/>
      <c r="B256" s="39"/>
      <c r="C256" s="39"/>
      <c r="D256" s="39"/>
      <c r="E256" s="39"/>
      <c r="F256" s="39"/>
      <c r="G256" s="39"/>
    </row>
    <row r="257" spans="1:7">
      <c r="A257" s="40"/>
      <c r="B257" s="40"/>
      <c r="C257" s="40"/>
      <c r="D257" s="40"/>
      <c r="E257" s="40"/>
      <c r="F257" s="40"/>
      <c r="G257" s="40"/>
    </row>
    <row r="258" spans="1:7">
      <c r="A258" s="39"/>
      <c r="B258" s="39"/>
      <c r="C258" s="39"/>
      <c r="D258" s="39"/>
      <c r="E258" s="39"/>
      <c r="F258" s="39"/>
      <c r="G258" s="39"/>
    </row>
    <row r="259" spans="1:7">
      <c r="A259" s="40"/>
      <c r="B259" s="40"/>
      <c r="C259" s="40"/>
      <c r="D259" s="40"/>
      <c r="E259" s="40"/>
      <c r="F259" s="40"/>
      <c r="G259" s="40"/>
    </row>
    <row r="260" spans="1:7">
      <c r="A260" s="39"/>
      <c r="B260" s="39"/>
      <c r="C260" s="39"/>
      <c r="D260" s="39"/>
      <c r="E260" s="39"/>
      <c r="F260" s="39"/>
      <c r="G260" s="39"/>
    </row>
    <row r="261" spans="1:7">
      <c r="A261" s="40"/>
      <c r="B261" s="40"/>
      <c r="C261" s="40"/>
      <c r="D261" s="40"/>
      <c r="E261" s="40"/>
      <c r="F261" s="40"/>
      <c r="G261" s="40"/>
    </row>
    <row r="262" spans="1:7">
      <c r="A262" s="39"/>
      <c r="B262" s="39"/>
      <c r="C262" s="39"/>
      <c r="D262" s="39"/>
      <c r="E262" s="39"/>
      <c r="F262" s="39"/>
      <c r="G262" s="39"/>
    </row>
    <row r="263" spans="1:7">
      <c r="A263" s="40"/>
      <c r="B263" s="40"/>
      <c r="C263" s="40"/>
      <c r="D263" s="40"/>
      <c r="E263" s="40"/>
      <c r="F263" s="40"/>
      <c r="G263" s="40"/>
    </row>
    <row r="264" spans="1:7">
      <c r="A264" s="39"/>
      <c r="B264" s="39"/>
      <c r="C264" s="39"/>
      <c r="D264" s="39"/>
      <c r="E264" s="39"/>
      <c r="F264" s="39"/>
      <c r="G264" s="39"/>
    </row>
    <row r="265" spans="1:7">
      <c r="A265" s="40"/>
      <c r="B265" s="40"/>
      <c r="C265" s="40"/>
      <c r="D265" s="40"/>
      <c r="E265" s="40"/>
      <c r="F265" s="40"/>
      <c r="G265" s="40"/>
    </row>
    <row r="266" spans="1:7">
      <c r="A266" s="39"/>
      <c r="B266" s="39"/>
      <c r="C266" s="39"/>
      <c r="D266" s="39"/>
      <c r="E266" s="39"/>
      <c r="F266" s="39"/>
      <c r="G266" s="39"/>
    </row>
    <row r="267" spans="1:7">
      <c r="A267" s="40"/>
      <c r="B267" s="40"/>
      <c r="C267" s="40"/>
      <c r="D267" s="40"/>
      <c r="E267" s="40"/>
      <c r="F267" s="40"/>
      <c r="G267" s="40"/>
    </row>
    <row r="268" spans="1:7">
      <c r="A268" s="39"/>
      <c r="B268" s="39"/>
      <c r="C268" s="39"/>
      <c r="D268" s="39"/>
      <c r="E268" s="39"/>
      <c r="F268" s="39"/>
      <c r="G268" s="39"/>
    </row>
    <row r="269" spans="1:7">
      <c r="A269" s="40"/>
      <c r="B269" s="40"/>
      <c r="C269" s="40"/>
      <c r="D269" s="40"/>
      <c r="E269" s="40"/>
      <c r="F269" s="40"/>
      <c r="G269" s="40"/>
    </row>
    <row r="270" spans="1:7">
      <c r="A270" s="39"/>
      <c r="B270" s="39"/>
      <c r="C270" s="39"/>
      <c r="D270" s="39"/>
      <c r="E270" s="39"/>
      <c r="F270" s="39"/>
      <c r="G270" s="39"/>
    </row>
    <row r="271" spans="1:7">
      <c r="A271" s="40"/>
      <c r="B271" s="40"/>
      <c r="C271" s="40"/>
      <c r="D271" s="40"/>
      <c r="E271" s="40"/>
      <c r="F271" s="40"/>
      <c r="G271" s="40"/>
    </row>
    <row r="272" spans="1:7">
      <c r="A272" s="39"/>
      <c r="B272" s="39"/>
      <c r="C272" s="39"/>
      <c r="D272" s="39"/>
      <c r="E272" s="39"/>
      <c r="F272" s="39"/>
      <c r="G272" s="39"/>
    </row>
    <row r="273" spans="1:7">
      <c r="A273" s="40"/>
      <c r="B273" s="40"/>
      <c r="C273" s="40"/>
      <c r="D273" s="40"/>
      <c r="E273" s="40"/>
      <c r="F273" s="40"/>
      <c r="G273" s="40"/>
    </row>
    <row r="274" spans="1:7">
      <c r="A274" s="39"/>
      <c r="B274" s="39"/>
      <c r="C274" s="39"/>
      <c r="D274" s="39"/>
      <c r="E274" s="39"/>
      <c r="F274" s="39"/>
      <c r="G274" s="39"/>
    </row>
    <row r="275" spans="1:7">
      <c r="A275" s="40"/>
      <c r="B275" s="40"/>
      <c r="C275" s="40"/>
      <c r="D275" s="40"/>
      <c r="E275" s="40"/>
      <c r="F275" s="40"/>
      <c r="G275" s="40"/>
    </row>
    <row r="276" spans="1:7">
      <c r="A276" s="39"/>
      <c r="B276" s="39"/>
      <c r="C276" s="39"/>
      <c r="D276" s="39"/>
      <c r="E276" s="39"/>
      <c r="F276" s="39"/>
      <c r="G276" s="39"/>
    </row>
    <row r="277" spans="1:7">
      <c r="A277" s="40"/>
      <c r="B277" s="40"/>
      <c r="C277" s="40"/>
      <c r="D277" s="40"/>
      <c r="E277" s="40"/>
      <c r="F277" s="40"/>
      <c r="G277" s="40"/>
    </row>
    <row r="278" spans="1:7">
      <c r="A278" s="39"/>
      <c r="B278" s="39"/>
      <c r="C278" s="39"/>
      <c r="D278" s="39"/>
      <c r="E278" s="39"/>
      <c r="F278" s="39"/>
      <c r="G278" s="39"/>
    </row>
    <row r="279" spans="1:7">
      <c r="A279" s="40"/>
      <c r="B279" s="40"/>
      <c r="C279" s="40"/>
      <c r="D279" s="40"/>
      <c r="E279" s="40"/>
      <c r="F279" s="40"/>
      <c r="G279" s="40"/>
    </row>
    <row r="280" spans="1:7">
      <c r="A280" s="39"/>
      <c r="B280" s="39"/>
      <c r="C280" s="39"/>
      <c r="D280" s="39"/>
      <c r="E280" s="39"/>
      <c r="F280" s="39"/>
      <c r="G280" s="39"/>
    </row>
    <row r="281" spans="1:7">
      <c r="A281" s="40"/>
      <c r="B281" s="40"/>
      <c r="C281" s="40"/>
      <c r="D281" s="40"/>
      <c r="E281" s="40"/>
      <c r="F281" s="40"/>
      <c r="G281" s="40"/>
    </row>
    <row r="282" spans="1:7">
      <c r="A282" s="39"/>
      <c r="B282" s="39"/>
      <c r="C282" s="39"/>
      <c r="D282" s="39"/>
      <c r="E282" s="39"/>
      <c r="F282" s="39"/>
      <c r="G282" s="39"/>
    </row>
    <row r="283" spans="1:7">
      <c r="A283" s="40"/>
      <c r="B283" s="40"/>
      <c r="C283" s="40"/>
      <c r="D283" s="40"/>
      <c r="E283" s="40"/>
      <c r="F283" s="40"/>
      <c r="G283" s="40"/>
    </row>
    <row r="284" spans="1:7">
      <c r="A284" s="39"/>
      <c r="B284" s="39"/>
      <c r="C284" s="39"/>
      <c r="D284" s="39"/>
      <c r="E284" s="39"/>
      <c r="F284" s="39"/>
      <c r="G284" s="39"/>
    </row>
    <row r="285" spans="1:7">
      <c r="A285" s="40"/>
      <c r="B285" s="40"/>
      <c r="C285" s="40"/>
      <c r="D285" s="40"/>
      <c r="E285" s="40"/>
      <c r="F285" s="40"/>
      <c r="G285" s="40"/>
    </row>
    <row r="286" spans="1:7">
      <c r="A286" s="39"/>
      <c r="B286" s="39"/>
      <c r="C286" s="39"/>
      <c r="D286" s="39"/>
      <c r="E286" s="39"/>
      <c r="F286" s="39"/>
      <c r="G286" s="39"/>
    </row>
    <row r="287" spans="1:7">
      <c r="A287" s="40"/>
      <c r="B287" s="40"/>
      <c r="C287" s="40"/>
      <c r="D287" s="40"/>
      <c r="E287" s="40"/>
      <c r="F287" s="40"/>
      <c r="G287" s="40"/>
    </row>
    <row r="288" spans="1:7">
      <c r="A288" s="39"/>
      <c r="B288" s="39"/>
      <c r="C288" s="39"/>
      <c r="D288" s="39"/>
      <c r="E288" s="39"/>
      <c r="F288" s="39"/>
      <c r="G288" s="39"/>
    </row>
    <row r="289" spans="1:7">
      <c r="A289" s="40"/>
      <c r="B289" s="40"/>
      <c r="C289" s="40"/>
      <c r="D289" s="40"/>
      <c r="E289" s="40"/>
      <c r="F289" s="40"/>
      <c r="G289" s="40"/>
    </row>
    <row r="290" spans="1:7">
      <c r="A290" s="39"/>
      <c r="B290" s="39"/>
      <c r="C290" s="39"/>
      <c r="D290" s="39"/>
      <c r="E290" s="39"/>
      <c r="F290" s="39"/>
      <c r="G290" s="39"/>
    </row>
    <row r="291" spans="1:7">
      <c r="A291" s="40"/>
      <c r="B291" s="40"/>
      <c r="C291" s="40"/>
      <c r="D291" s="40"/>
      <c r="E291" s="40"/>
      <c r="F291" s="40"/>
      <c r="G291" s="40"/>
    </row>
    <row r="292" spans="1:7">
      <c r="A292" s="39"/>
      <c r="B292" s="39"/>
      <c r="C292" s="39"/>
      <c r="D292" s="39"/>
      <c r="E292" s="39"/>
      <c r="F292" s="39"/>
      <c r="G292" s="39"/>
    </row>
    <row r="293" spans="1:7">
      <c r="A293" s="40"/>
      <c r="B293" s="40"/>
      <c r="C293" s="40"/>
      <c r="D293" s="40"/>
      <c r="E293" s="40"/>
      <c r="F293" s="40"/>
      <c r="G293" s="40"/>
    </row>
    <row r="294" spans="1:7">
      <c r="A294" s="39"/>
      <c r="B294" s="39"/>
      <c r="C294" s="39"/>
      <c r="D294" s="39"/>
      <c r="E294" s="39"/>
      <c r="F294" s="39"/>
      <c r="G294" s="39"/>
    </row>
    <row r="295" spans="1:7">
      <c r="A295" s="40"/>
      <c r="B295" s="40"/>
      <c r="C295" s="40"/>
      <c r="D295" s="40"/>
      <c r="E295" s="40"/>
      <c r="F295" s="40"/>
      <c r="G295" s="40"/>
    </row>
    <row r="296" spans="1:7">
      <c r="A296" s="39"/>
      <c r="B296" s="39"/>
      <c r="C296" s="39"/>
      <c r="D296" s="39"/>
      <c r="E296" s="39"/>
      <c r="F296" s="39"/>
      <c r="G296" s="39"/>
    </row>
    <row r="297" spans="1:7">
      <c r="A297" s="40"/>
      <c r="B297" s="40"/>
      <c r="C297" s="40"/>
      <c r="D297" s="40"/>
      <c r="E297" s="40"/>
      <c r="F297" s="40"/>
      <c r="G297" s="40"/>
    </row>
    <row r="298" spans="1:7">
      <c r="A298" s="39"/>
      <c r="B298" s="39"/>
      <c r="C298" s="39"/>
      <c r="D298" s="39"/>
      <c r="E298" s="39"/>
      <c r="F298" s="39"/>
      <c r="G298" s="39"/>
    </row>
    <row r="299" spans="1:7">
      <c r="A299" s="40"/>
      <c r="B299" s="40"/>
      <c r="C299" s="40"/>
      <c r="D299" s="40"/>
      <c r="E299" s="40"/>
      <c r="F299" s="40"/>
      <c r="G299" s="40"/>
    </row>
    <row r="300" spans="1:7">
      <c r="A300" s="39"/>
      <c r="B300" s="39"/>
      <c r="C300" s="39"/>
      <c r="D300" s="39"/>
      <c r="E300" s="39"/>
      <c r="F300" s="39"/>
      <c r="G300" s="39"/>
    </row>
    <row r="301" spans="1:7">
      <c r="A301" s="40"/>
      <c r="B301" s="40"/>
      <c r="C301" s="40"/>
      <c r="D301" s="40"/>
      <c r="E301" s="40"/>
      <c r="F301" s="40"/>
      <c r="G301" s="40"/>
    </row>
    <row r="302" spans="1:7">
      <c r="A302" s="39"/>
      <c r="B302" s="39"/>
      <c r="C302" s="39"/>
      <c r="D302" s="39"/>
      <c r="E302" s="39"/>
      <c r="F302" s="39"/>
      <c r="G302" s="39"/>
    </row>
    <row r="303" spans="1:7">
      <c r="A303" s="40"/>
      <c r="B303" s="40"/>
      <c r="C303" s="40"/>
      <c r="D303" s="40"/>
      <c r="E303" s="40"/>
      <c r="F303" s="40"/>
      <c r="G303" s="40"/>
    </row>
    <row r="304" spans="1:7">
      <c r="A304" s="39"/>
      <c r="B304" s="39"/>
      <c r="C304" s="39"/>
      <c r="D304" s="39"/>
      <c r="E304" s="39"/>
      <c r="F304" s="39"/>
      <c r="G304" s="39"/>
    </row>
    <row r="305" spans="1:7">
      <c r="A305" s="40"/>
      <c r="B305" s="40"/>
      <c r="C305" s="40"/>
      <c r="D305" s="40"/>
      <c r="E305" s="40"/>
      <c r="F305" s="40"/>
      <c r="G305" s="40"/>
    </row>
    <row r="306" spans="1:7">
      <c r="A306" s="39"/>
      <c r="B306" s="39"/>
      <c r="C306" s="39"/>
      <c r="D306" s="39"/>
      <c r="E306" s="39"/>
      <c r="F306" s="39"/>
      <c r="G306" s="39"/>
    </row>
    <row r="307" spans="1:7">
      <c r="A307" s="40"/>
      <c r="B307" s="40"/>
      <c r="C307" s="40"/>
      <c r="D307" s="40"/>
      <c r="E307" s="40"/>
      <c r="F307" s="40"/>
      <c r="G307" s="40"/>
    </row>
    <row r="308" spans="1:7">
      <c r="A308" s="39"/>
      <c r="B308" s="39"/>
      <c r="C308" s="39"/>
      <c r="D308" s="39"/>
      <c r="E308" s="39"/>
      <c r="F308" s="39"/>
      <c r="G308" s="39"/>
    </row>
    <row r="309" spans="1:7">
      <c r="A309" s="40"/>
      <c r="B309" s="40"/>
      <c r="C309" s="40"/>
      <c r="D309" s="40"/>
      <c r="E309" s="40"/>
      <c r="F309" s="40"/>
      <c r="G309" s="40"/>
    </row>
    <row r="310" spans="1:7">
      <c r="A310" s="39"/>
      <c r="B310" s="39"/>
      <c r="C310" s="39"/>
      <c r="D310" s="39"/>
      <c r="E310" s="39"/>
      <c r="F310" s="39"/>
      <c r="G310" s="39"/>
    </row>
    <row r="311" spans="1:7">
      <c r="A311" s="40"/>
      <c r="B311" s="40"/>
      <c r="C311" s="40"/>
      <c r="D311" s="40"/>
      <c r="E311" s="40"/>
      <c r="F311" s="40"/>
      <c r="G311" s="40"/>
    </row>
    <row r="312" spans="1:7">
      <c r="A312" s="39"/>
      <c r="B312" s="39"/>
      <c r="C312" s="39"/>
      <c r="D312" s="39"/>
      <c r="E312" s="39"/>
      <c r="F312" s="39"/>
      <c r="G312" s="39"/>
    </row>
    <row r="313" spans="1:7">
      <c r="A313" s="40"/>
      <c r="B313" s="40"/>
      <c r="C313" s="40"/>
      <c r="D313" s="40"/>
      <c r="E313" s="40"/>
      <c r="F313" s="40"/>
      <c r="G313" s="40"/>
    </row>
    <row r="314" spans="1:7">
      <c r="A314" s="39"/>
      <c r="B314" s="39"/>
      <c r="C314" s="39"/>
      <c r="D314" s="39"/>
      <c r="E314" s="39"/>
      <c r="F314" s="39"/>
      <c r="G314" s="39"/>
    </row>
    <row r="315" spans="1:7">
      <c r="A315" s="40"/>
      <c r="B315" s="40"/>
      <c r="C315" s="40"/>
      <c r="D315" s="40"/>
      <c r="E315" s="40"/>
      <c r="F315" s="40"/>
      <c r="G315" s="40"/>
    </row>
    <row r="316" spans="1:7">
      <c r="A316" s="39"/>
      <c r="B316" s="39"/>
      <c r="C316" s="39"/>
      <c r="D316" s="39"/>
      <c r="E316" s="39"/>
      <c r="F316" s="39"/>
      <c r="G316" s="39"/>
    </row>
    <row r="317" spans="1:7">
      <c r="A317" s="40"/>
      <c r="B317" s="40"/>
      <c r="C317" s="40"/>
      <c r="D317" s="40"/>
      <c r="E317" s="40"/>
      <c r="F317" s="40"/>
      <c r="G317" s="40"/>
    </row>
    <row r="318" spans="1:7">
      <c r="A318" s="39"/>
      <c r="B318" s="39"/>
      <c r="C318" s="39"/>
      <c r="D318" s="39"/>
      <c r="E318" s="39"/>
      <c r="F318" s="39"/>
      <c r="G318" s="39"/>
    </row>
    <row r="319" spans="1:7">
      <c r="A319" s="40"/>
      <c r="B319" s="40"/>
      <c r="C319" s="40"/>
      <c r="D319" s="40"/>
      <c r="E319" s="40"/>
      <c r="F319" s="40"/>
      <c r="G319" s="40"/>
    </row>
    <row r="320" spans="1:7">
      <c r="A320" s="39"/>
      <c r="B320" s="39"/>
      <c r="C320" s="39"/>
      <c r="D320" s="39"/>
      <c r="E320" s="39"/>
      <c r="F320" s="39"/>
      <c r="G320" s="39"/>
    </row>
    <row r="321" spans="1:7">
      <c r="A321" s="40"/>
      <c r="B321" s="40"/>
      <c r="C321" s="40"/>
      <c r="D321" s="40"/>
      <c r="E321" s="40"/>
      <c r="F321" s="40"/>
      <c r="G321" s="40"/>
    </row>
    <row r="322" spans="1:7">
      <c r="A322" s="39"/>
      <c r="B322" s="39"/>
      <c r="C322" s="39"/>
      <c r="D322" s="39"/>
      <c r="E322" s="39"/>
      <c r="F322" s="39"/>
      <c r="G322" s="39"/>
    </row>
    <row r="323" spans="1:7">
      <c r="A323" s="40"/>
      <c r="B323" s="40"/>
      <c r="C323" s="40"/>
      <c r="D323" s="40"/>
      <c r="E323" s="40"/>
      <c r="F323" s="40"/>
      <c r="G323" s="40"/>
    </row>
    <row r="324" spans="1:7">
      <c r="A324" s="39"/>
      <c r="B324" s="39"/>
      <c r="C324" s="39"/>
      <c r="D324" s="39"/>
      <c r="E324" s="39"/>
      <c r="F324" s="39"/>
      <c r="G324" s="39"/>
    </row>
    <row r="325" spans="1:7">
      <c r="A325" s="40"/>
      <c r="B325" s="40"/>
      <c r="C325" s="40"/>
      <c r="D325" s="40"/>
      <c r="E325" s="40"/>
      <c r="F325" s="40"/>
      <c r="G325" s="40"/>
    </row>
    <row r="326" spans="1:7">
      <c r="A326" s="39"/>
      <c r="B326" s="39"/>
      <c r="C326" s="39"/>
      <c r="D326" s="39"/>
      <c r="E326" s="39"/>
      <c r="F326" s="39"/>
      <c r="G326" s="39"/>
    </row>
    <row r="327" spans="1:7">
      <c r="A327" s="40"/>
      <c r="B327" s="40"/>
      <c r="C327" s="40"/>
      <c r="D327" s="40"/>
      <c r="E327" s="40"/>
      <c r="F327" s="40"/>
      <c r="G327" s="40"/>
    </row>
    <row r="328" spans="1:7">
      <c r="A328" s="39"/>
      <c r="B328" s="39"/>
      <c r="C328" s="39"/>
      <c r="D328" s="39"/>
      <c r="E328" s="39"/>
      <c r="F328" s="39"/>
      <c r="G328" s="39"/>
    </row>
    <row r="329" spans="1:7">
      <c r="A329" s="40"/>
      <c r="B329" s="40"/>
      <c r="C329" s="40"/>
      <c r="D329" s="40"/>
      <c r="E329" s="40"/>
      <c r="F329" s="40"/>
      <c r="G329" s="40"/>
    </row>
    <row r="330" spans="1:7">
      <c r="A330" s="39"/>
      <c r="B330" s="39"/>
      <c r="C330" s="39"/>
      <c r="D330" s="39"/>
      <c r="E330" s="39"/>
      <c r="F330" s="39"/>
      <c r="G330" s="39"/>
    </row>
    <row r="331" spans="1:7">
      <c r="A331" s="40"/>
      <c r="B331" s="40"/>
      <c r="C331" s="40"/>
      <c r="D331" s="40"/>
      <c r="E331" s="40"/>
      <c r="F331" s="40"/>
      <c r="G331" s="40"/>
    </row>
    <row r="332" spans="1:7">
      <c r="A332" s="39"/>
      <c r="B332" s="39"/>
      <c r="C332" s="39"/>
      <c r="D332" s="39"/>
      <c r="E332" s="39"/>
      <c r="F332" s="39"/>
      <c r="G332" s="39"/>
    </row>
    <row r="333" spans="1:7">
      <c r="A333" s="40"/>
      <c r="B333" s="40"/>
      <c r="C333" s="40"/>
      <c r="D333" s="40"/>
      <c r="E333" s="40"/>
      <c r="F333" s="40"/>
      <c r="G333" s="40"/>
    </row>
    <row r="334" spans="1:7">
      <c r="A334" s="39"/>
      <c r="B334" s="39"/>
      <c r="C334" s="39"/>
      <c r="D334" s="39"/>
      <c r="E334" s="39"/>
      <c r="F334" s="39"/>
      <c r="G334" s="39"/>
    </row>
    <row r="335" spans="1:7">
      <c r="A335" s="40"/>
      <c r="B335" s="40"/>
      <c r="C335" s="40"/>
      <c r="D335" s="40"/>
      <c r="E335" s="40"/>
      <c r="F335" s="40"/>
      <c r="G335" s="40"/>
    </row>
    <row r="336" spans="1:7">
      <c r="A336" s="39"/>
      <c r="B336" s="39"/>
      <c r="C336" s="39"/>
      <c r="D336" s="39"/>
      <c r="E336" s="39"/>
      <c r="F336" s="39"/>
      <c r="G336" s="39"/>
    </row>
    <row r="337" spans="1:7">
      <c r="A337" s="40"/>
      <c r="B337" s="40"/>
      <c r="C337" s="40"/>
      <c r="D337" s="40"/>
      <c r="E337" s="40"/>
      <c r="F337" s="40"/>
      <c r="G337" s="40"/>
    </row>
    <row r="338" spans="1:7">
      <c r="A338" s="39"/>
      <c r="B338" s="39"/>
      <c r="C338" s="39"/>
      <c r="D338" s="39"/>
      <c r="E338" s="39"/>
      <c r="F338" s="39"/>
      <c r="G338" s="39"/>
    </row>
    <row r="339" spans="1:7">
      <c r="A339" s="40"/>
      <c r="B339" s="40"/>
      <c r="C339" s="40"/>
      <c r="D339" s="40"/>
      <c r="E339" s="40"/>
      <c r="F339" s="40"/>
      <c r="G339" s="40"/>
    </row>
    <row r="340" spans="1:7">
      <c r="A340" s="39"/>
      <c r="B340" s="39"/>
      <c r="C340" s="39"/>
      <c r="D340" s="39"/>
      <c r="E340" s="39"/>
      <c r="F340" s="39"/>
      <c r="G340" s="39"/>
    </row>
    <row r="341" spans="1:7">
      <c r="A341" s="40"/>
      <c r="B341" s="40"/>
      <c r="C341" s="40"/>
      <c r="D341" s="40"/>
      <c r="E341" s="40"/>
      <c r="F341" s="40"/>
      <c r="G341" s="40"/>
    </row>
    <row r="342" spans="1:7">
      <c r="A342" s="39"/>
      <c r="B342" s="39"/>
      <c r="C342" s="39"/>
      <c r="D342" s="39"/>
      <c r="E342" s="39"/>
      <c r="F342" s="39"/>
      <c r="G342" s="39"/>
    </row>
    <row r="343" spans="1:7">
      <c r="A343" s="40"/>
      <c r="B343" s="40"/>
      <c r="C343" s="40"/>
      <c r="D343" s="40"/>
      <c r="E343" s="40"/>
      <c r="F343" s="40"/>
      <c r="G343" s="40"/>
    </row>
    <row r="344" spans="1:7">
      <c r="A344" s="39"/>
      <c r="B344" s="39"/>
      <c r="C344" s="39"/>
      <c r="D344" s="39"/>
      <c r="E344" s="39"/>
      <c r="F344" s="39"/>
      <c r="G344" s="39"/>
    </row>
    <row r="345" spans="1:7">
      <c r="A345" s="40"/>
      <c r="B345" s="40"/>
      <c r="C345" s="40"/>
      <c r="D345" s="40"/>
      <c r="E345" s="40"/>
      <c r="F345" s="40"/>
      <c r="G345" s="40"/>
    </row>
    <row r="346" spans="1:7">
      <c r="A346" s="39"/>
      <c r="B346" s="39"/>
      <c r="C346" s="39"/>
      <c r="D346" s="39"/>
      <c r="E346" s="39"/>
      <c r="F346" s="39"/>
      <c r="G346" s="39"/>
    </row>
    <row r="347" spans="1:7">
      <c r="A347" s="40"/>
      <c r="B347" s="40"/>
      <c r="C347" s="40"/>
      <c r="D347" s="40"/>
      <c r="E347" s="40"/>
      <c r="F347" s="40"/>
      <c r="G347" s="40"/>
    </row>
    <row r="348" spans="1:7">
      <c r="A348" s="39"/>
      <c r="B348" s="39"/>
      <c r="C348" s="39"/>
      <c r="D348" s="39"/>
      <c r="E348" s="39"/>
      <c r="F348" s="39"/>
      <c r="G348" s="39"/>
    </row>
    <row r="349" spans="1:7">
      <c r="A349" s="40"/>
      <c r="B349" s="40"/>
      <c r="C349" s="40"/>
      <c r="D349" s="40"/>
      <c r="E349" s="40"/>
      <c r="F349" s="40"/>
      <c r="G349" s="40"/>
    </row>
    <row r="350" spans="1:7">
      <c r="A350" s="39"/>
      <c r="B350" s="39"/>
      <c r="C350" s="39"/>
      <c r="D350" s="39"/>
      <c r="E350" s="39"/>
      <c r="F350" s="39"/>
      <c r="G350" s="39"/>
    </row>
    <row r="351" spans="1:7">
      <c r="A351" s="40"/>
      <c r="B351" s="40"/>
      <c r="C351" s="40"/>
      <c r="D351" s="40"/>
      <c r="E351" s="40"/>
      <c r="F351" s="40"/>
      <c r="G351" s="40"/>
    </row>
    <row r="352" spans="1:7">
      <c r="A352" s="39"/>
      <c r="B352" s="39"/>
      <c r="C352" s="39"/>
      <c r="D352" s="39"/>
      <c r="E352" s="39"/>
      <c r="F352" s="39"/>
      <c r="G352" s="39"/>
    </row>
    <row r="353" spans="1:7">
      <c r="A353" s="40"/>
      <c r="B353" s="40"/>
      <c r="C353" s="40"/>
      <c r="D353" s="40"/>
      <c r="E353" s="40"/>
      <c r="F353" s="40"/>
      <c r="G353" s="40"/>
    </row>
    <row r="354" spans="1:7">
      <c r="A354" s="39"/>
      <c r="B354" s="39"/>
      <c r="C354" s="39"/>
      <c r="D354" s="39"/>
      <c r="E354" s="39"/>
      <c r="F354" s="39"/>
      <c r="G354" s="39"/>
    </row>
    <row r="355" spans="1:7">
      <c r="A355" s="40"/>
      <c r="B355" s="40"/>
      <c r="C355" s="40"/>
      <c r="D355" s="40"/>
      <c r="E355" s="40"/>
      <c r="F355" s="40"/>
      <c r="G355" s="40"/>
    </row>
    <row r="356" spans="1:7">
      <c r="A356" s="39"/>
      <c r="B356" s="39"/>
      <c r="C356" s="39"/>
      <c r="D356" s="39"/>
      <c r="E356" s="39"/>
      <c r="F356" s="39"/>
      <c r="G356" s="39"/>
    </row>
    <row r="357" spans="1:7">
      <c r="A357" s="40"/>
      <c r="B357" s="40"/>
      <c r="C357" s="40"/>
      <c r="D357" s="40"/>
      <c r="E357" s="40"/>
      <c r="F357" s="40"/>
      <c r="G357" s="40"/>
    </row>
    <row r="358" spans="1:7">
      <c r="A358" s="39"/>
      <c r="B358" s="39"/>
      <c r="C358" s="39"/>
      <c r="D358" s="39"/>
      <c r="E358" s="39"/>
      <c r="F358" s="39"/>
      <c r="G358" s="39"/>
    </row>
    <row r="359" spans="1:7">
      <c r="A359" s="40"/>
      <c r="B359" s="40"/>
      <c r="C359" s="40"/>
      <c r="D359" s="40"/>
      <c r="E359" s="40"/>
      <c r="F359" s="40"/>
      <c r="G359" s="40"/>
    </row>
    <row r="360" spans="1:7">
      <c r="A360" s="39"/>
      <c r="B360" s="39"/>
      <c r="C360" s="39"/>
      <c r="D360" s="39"/>
      <c r="E360" s="39"/>
      <c r="F360" s="39"/>
      <c r="G360" s="39"/>
    </row>
    <row r="361" spans="1:7">
      <c r="A361" s="40"/>
      <c r="B361" s="40"/>
      <c r="C361" s="40"/>
      <c r="D361" s="40"/>
      <c r="E361" s="40"/>
      <c r="F361" s="40"/>
      <c r="G361" s="40"/>
    </row>
    <row r="362" spans="1:7">
      <c r="A362" s="39"/>
      <c r="B362" s="39"/>
      <c r="C362" s="39"/>
      <c r="D362" s="39"/>
      <c r="E362" s="39"/>
      <c r="F362" s="39"/>
      <c r="G362" s="39"/>
    </row>
    <row r="363" spans="1:7">
      <c r="A363" s="40"/>
      <c r="B363" s="40"/>
      <c r="C363" s="40"/>
      <c r="D363" s="40"/>
      <c r="E363" s="40"/>
      <c r="F363" s="40"/>
      <c r="G363" s="40"/>
    </row>
    <row r="364" spans="1:7">
      <c r="A364" s="39"/>
      <c r="B364" s="39"/>
      <c r="C364" s="39"/>
      <c r="D364" s="39"/>
      <c r="E364" s="39"/>
      <c r="F364" s="39"/>
      <c r="G364" s="39"/>
    </row>
    <row r="365" spans="1:7">
      <c r="A365" s="40"/>
      <c r="B365" s="40"/>
      <c r="C365" s="40"/>
      <c r="D365" s="40"/>
      <c r="E365" s="40"/>
      <c r="F365" s="40"/>
      <c r="G365" s="40"/>
    </row>
    <row r="366" spans="1:7">
      <c r="A366" s="39"/>
      <c r="B366" s="39"/>
      <c r="C366" s="39"/>
      <c r="D366" s="39"/>
      <c r="E366" s="39"/>
      <c r="F366" s="39"/>
      <c r="G366" s="39"/>
    </row>
    <row r="367" spans="1:7">
      <c r="A367" s="40"/>
      <c r="B367" s="40"/>
      <c r="C367" s="40"/>
      <c r="D367" s="40"/>
      <c r="E367" s="40"/>
      <c r="F367" s="40"/>
      <c r="G367" s="40"/>
    </row>
    <row r="368" spans="1:7">
      <c r="A368" s="39"/>
      <c r="B368" s="39"/>
      <c r="C368" s="39"/>
      <c r="D368" s="39"/>
      <c r="E368" s="39"/>
      <c r="F368" s="39"/>
      <c r="G368" s="39"/>
    </row>
    <row r="369" spans="1:7">
      <c r="A369" s="40"/>
      <c r="B369" s="40"/>
      <c r="C369" s="40"/>
      <c r="D369" s="40"/>
      <c r="E369" s="40"/>
      <c r="F369" s="40"/>
      <c r="G369" s="40"/>
    </row>
    <row r="370" spans="1:7">
      <c r="A370" s="39"/>
      <c r="B370" s="39"/>
      <c r="C370" s="39"/>
      <c r="D370" s="39"/>
      <c r="E370" s="39"/>
      <c r="F370" s="39"/>
      <c r="G370" s="39"/>
    </row>
    <row r="371" spans="1:7">
      <c r="A371" s="40"/>
      <c r="B371" s="40"/>
      <c r="C371" s="40"/>
      <c r="D371" s="40"/>
      <c r="E371" s="40"/>
      <c r="F371" s="40"/>
      <c r="G371" s="40"/>
    </row>
    <row r="372" spans="1:7">
      <c r="A372" s="39"/>
      <c r="B372" s="39"/>
      <c r="C372" s="39"/>
      <c r="D372" s="39"/>
      <c r="E372" s="39"/>
      <c r="F372" s="39"/>
      <c r="G372" s="39"/>
    </row>
    <row r="373" spans="1:7">
      <c r="A373" s="40"/>
      <c r="B373" s="40"/>
      <c r="C373" s="40"/>
      <c r="D373" s="40"/>
      <c r="E373" s="40"/>
      <c r="F373" s="40"/>
      <c r="G373" s="40"/>
    </row>
    <row r="374" spans="1:7">
      <c r="A374" s="39"/>
      <c r="B374" s="39"/>
      <c r="C374" s="39"/>
      <c r="D374" s="39"/>
      <c r="E374" s="39"/>
      <c r="F374" s="39"/>
      <c r="G374" s="39"/>
    </row>
    <row r="375" spans="1:7">
      <c r="A375" s="40"/>
      <c r="B375" s="40"/>
      <c r="C375" s="40"/>
      <c r="D375" s="40"/>
      <c r="E375" s="40"/>
      <c r="F375" s="40"/>
      <c r="G375" s="40"/>
    </row>
    <row r="376" spans="1:7">
      <c r="A376" s="39"/>
      <c r="B376" s="39"/>
      <c r="C376" s="39"/>
      <c r="D376" s="39"/>
      <c r="E376" s="39"/>
      <c r="F376" s="39"/>
      <c r="G376" s="39"/>
    </row>
    <row r="377" spans="1:7">
      <c r="A377" s="40"/>
      <c r="B377" s="40"/>
      <c r="C377" s="40"/>
      <c r="D377" s="40"/>
      <c r="E377" s="40"/>
      <c r="F377" s="40"/>
      <c r="G377" s="40"/>
    </row>
    <row r="378" spans="1:7">
      <c r="A378" s="39"/>
      <c r="B378" s="39"/>
      <c r="C378" s="39"/>
      <c r="D378" s="39"/>
      <c r="E378" s="39"/>
      <c r="F378" s="39"/>
      <c r="G378" s="39"/>
    </row>
    <row r="379" spans="1:7">
      <c r="A379" s="40"/>
      <c r="B379" s="40"/>
      <c r="C379" s="40"/>
      <c r="D379" s="40"/>
      <c r="E379" s="40"/>
      <c r="F379" s="40"/>
      <c r="G379" s="40"/>
    </row>
    <row r="380" spans="1:7">
      <c r="A380" s="39"/>
      <c r="B380" s="39"/>
      <c r="C380" s="39"/>
      <c r="D380" s="39"/>
      <c r="E380" s="39"/>
      <c r="F380" s="39"/>
      <c r="G380" s="39"/>
    </row>
    <row r="381" spans="1:7">
      <c r="A381" s="40"/>
      <c r="B381" s="40"/>
      <c r="C381" s="40"/>
      <c r="D381" s="40"/>
      <c r="E381" s="40"/>
      <c r="F381" s="40"/>
      <c r="G381" s="40"/>
    </row>
    <row r="382" spans="1:7">
      <c r="A382" s="39"/>
      <c r="B382" s="39"/>
      <c r="C382" s="39"/>
      <c r="D382" s="39"/>
      <c r="E382" s="39"/>
      <c r="F382" s="39"/>
      <c r="G382" s="39"/>
    </row>
    <row r="383" spans="1:7">
      <c r="A383" s="40"/>
      <c r="B383" s="40"/>
      <c r="C383" s="40"/>
      <c r="D383" s="40"/>
      <c r="E383" s="40"/>
      <c r="F383" s="40"/>
      <c r="G383" s="40"/>
    </row>
    <row r="384" spans="1:7">
      <c r="A384" s="39"/>
      <c r="B384" s="39"/>
      <c r="C384" s="39"/>
      <c r="D384" s="39"/>
      <c r="E384" s="39"/>
      <c r="F384" s="39"/>
      <c r="G384" s="39"/>
    </row>
    <row r="385" spans="1:7">
      <c r="A385" s="40"/>
      <c r="B385" s="40"/>
      <c r="C385" s="40"/>
      <c r="D385" s="40"/>
      <c r="E385" s="40"/>
      <c r="F385" s="40"/>
      <c r="G385" s="40"/>
    </row>
    <row r="386" spans="1:7">
      <c r="A386" s="39"/>
      <c r="B386" s="39"/>
      <c r="C386" s="39"/>
      <c r="D386" s="39"/>
      <c r="E386" s="39"/>
      <c r="F386" s="39"/>
      <c r="G386" s="39"/>
    </row>
    <row r="387" spans="1:7">
      <c r="A387" s="40"/>
      <c r="B387" s="40"/>
      <c r="C387" s="40"/>
      <c r="D387" s="40"/>
      <c r="E387" s="40"/>
      <c r="F387" s="40"/>
      <c r="G387" s="40"/>
    </row>
    <row r="388" spans="1:7">
      <c r="A388" s="39"/>
      <c r="B388" s="39"/>
      <c r="C388" s="39"/>
      <c r="D388" s="39"/>
      <c r="E388" s="39"/>
      <c r="F388" s="39"/>
      <c r="G388" s="39"/>
    </row>
    <row r="389" spans="1:7">
      <c r="A389" s="40"/>
      <c r="B389" s="40"/>
      <c r="C389" s="40"/>
      <c r="D389" s="40"/>
      <c r="E389" s="40"/>
      <c r="F389" s="40"/>
      <c r="G389" s="40"/>
    </row>
    <row r="390" spans="1:7">
      <c r="A390" s="39"/>
      <c r="B390" s="39"/>
      <c r="C390" s="39"/>
      <c r="D390" s="39"/>
      <c r="E390" s="39"/>
      <c r="F390" s="39"/>
      <c r="G390" s="39"/>
    </row>
    <row r="391" spans="1:7">
      <c r="A391" s="40"/>
      <c r="B391" s="40"/>
      <c r="C391" s="40"/>
      <c r="D391" s="40"/>
      <c r="E391" s="40"/>
      <c r="F391" s="40"/>
      <c r="G391" s="40"/>
    </row>
    <row r="392" spans="1:7">
      <c r="A392" s="39"/>
      <c r="B392" s="39"/>
      <c r="C392" s="39"/>
      <c r="D392" s="39"/>
      <c r="E392" s="39"/>
      <c r="F392" s="39"/>
      <c r="G392" s="39"/>
    </row>
    <row r="393" spans="1:7">
      <c r="A393" s="40"/>
      <c r="B393" s="40"/>
      <c r="C393" s="40"/>
      <c r="D393" s="40"/>
      <c r="E393" s="40"/>
      <c r="F393" s="40"/>
      <c r="G393" s="40"/>
    </row>
    <row r="394" spans="1:7">
      <c r="A394" s="39"/>
      <c r="B394" s="39"/>
      <c r="C394" s="39"/>
      <c r="D394" s="39"/>
      <c r="E394" s="39"/>
      <c r="F394" s="39"/>
      <c r="G394" s="39"/>
    </row>
    <row r="395" spans="1:7">
      <c r="A395" s="40"/>
      <c r="B395" s="40"/>
      <c r="C395" s="40"/>
      <c r="D395" s="40"/>
      <c r="E395" s="40"/>
      <c r="F395" s="40"/>
      <c r="G395" s="40"/>
    </row>
    <row r="396" spans="1:7">
      <c r="A396" s="39"/>
      <c r="B396" s="39"/>
      <c r="C396" s="39"/>
      <c r="D396" s="39"/>
      <c r="E396" s="39"/>
      <c r="F396" s="39"/>
      <c r="G396" s="39"/>
    </row>
    <row r="397" spans="1:7">
      <c r="A397" s="40"/>
      <c r="B397" s="40"/>
      <c r="C397" s="40"/>
      <c r="D397" s="40"/>
      <c r="E397" s="40"/>
      <c r="F397" s="40"/>
      <c r="G397" s="40"/>
    </row>
    <row r="398" spans="1:7">
      <c r="A398" s="39"/>
      <c r="B398" s="39"/>
      <c r="C398" s="39"/>
      <c r="D398" s="39"/>
      <c r="E398" s="39"/>
      <c r="F398" s="39"/>
      <c r="G398" s="39"/>
    </row>
    <row r="399" spans="1:7">
      <c r="A399" s="40"/>
      <c r="B399" s="40"/>
      <c r="C399" s="40"/>
      <c r="D399" s="40"/>
      <c r="E399" s="40"/>
      <c r="F399" s="40"/>
      <c r="G399" s="40"/>
    </row>
    <row r="400" spans="1:7">
      <c r="A400" s="39"/>
      <c r="B400" s="39"/>
      <c r="C400" s="39"/>
      <c r="D400" s="39"/>
      <c r="E400" s="39"/>
      <c r="F400" s="39"/>
      <c r="G400" s="39"/>
    </row>
    <row r="401" spans="1:7">
      <c r="A401" s="40"/>
      <c r="B401" s="40"/>
      <c r="C401" s="40"/>
      <c r="D401" s="40"/>
      <c r="E401" s="40"/>
      <c r="F401" s="40"/>
      <c r="G401" s="40"/>
    </row>
    <row r="402" spans="1:7">
      <c r="A402" s="39"/>
      <c r="B402" s="39"/>
      <c r="C402" s="39"/>
      <c r="D402" s="39"/>
      <c r="E402" s="39"/>
      <c r="F402" s="39"/>
      <c r="G402" s="39"/>
    </row>
    <row r="403" spans="1:7">
      <c r="A403" s="40"/>
      <c r="B403" s="40"/>
      <c r="C403" s="40"/>
      <c r="D403" s="40"/>
      <c r="E403" s="40"/>
      <c r="F403" s="40"/>
      <c r="G403" s="40"/>
    </row>
    <row r="404" spans="1:7">
      <c r="A404" s="39"/>
      <c r="B404" s="39"/>
      <c r="C404" s="39"/>
      <c r="D404" s="39"/>
      <c r="E404" s="39"/>
      <c r="F404" s="39"/>
      <c r="G404" s="39"/>
    </row>
    <row r="405" spans="1:7">
      <c r="A405" s="40"/>
      <c r="B405" s="40"/>
      <c r="C405" s="40"/>
      <c r="D405" s="40"/>
      <c r="E405" s="40"/>
      <c r="F405" s="40"/>
      <c r="G405" s="40"/>
    </row>
    <row r="406" spans="1:7">
      <c r="A406" s="39"/>
      <c r="B406" s="39"/>
      <c r="C406" s="39"/>
      <c r="D406" s="39"/>
      <c r="E406" s="39"/>
      <c r="F406" s="39"/>
      <c r="G406" s="39"/>
    </row>
    <row r="407" spans="1:7">
      <c r="A407" s="40"/>
      <c r="B407" s="40"/>
      <c r="C407" s="40"/>
      <c r="D407" s="40"/>
      <c r="E407" s="40"/>
      <c r="F407" s="40"/>
      <c r="G407" s="40"/>
    </row>
    <row r="408" spans="1:7">
      <c r="A408" s="39"/>
      <c r="B408" s="39"/>
      <c r="C408" s="39"/>
      <c r="D408" s="39"/>
      <c r="E408" s="39"/>
      <c r="F408" s="39"/>
      <c r="G408" s="39"/>
    </row>
    <row r="409" spans="1:7">
      <c r="A409" s="40"/>
      <c r="B409" s="40"/>
      <c r="C409" s="40"/>
      <c r="D409" s="40"/>
      <c r="E409" s="40"/>
      <c r="F409" s="40"/>
      <c r="G409" s="40"/>
    </row>
    <row r="410" spans="1:7">
      <c r="A410" s="39"/>
      <c r="B410" s="39"/>
      <c r="C410" s="39"/>
      <c r="D410" s="39"/>
      <c r="E410" s="39"/>
      <c r="F410" s="39"/>
      <c r="G410" s="39"/>
    </row>
    <row r="411" spans="1:7">
      <c r="A411" s="40"/>
      <c r="B411" s="40"/>
      <c r="C411" s="40"/>
      <c r="D411" s="40"/>
      <c r="E411" s="40"/>
      <c r="F411" s="40"/>
      <c r="G411" s="40"/>
    </row>
    <row r="412" spans="1:7">
      <c r="A412" s="39"/>
      <c r="B412" s="39"/>
      <c r="C412" s="39"/>
      <c r="D412" s="39"/>
      <c r="E412" s="39"/>
      <c r="F412" s="39"/>
      <c r="G412" s="39"/>
    </row>
    <row r="413" spans="1:7">
      <c r="A413" s="40"/>
      <c r="B413" s="40"/>
      <c r="C413" s="40"/>
      <c r="D413" s="40"/>
      <c r="E413" s="40"/>
      <c r="F413" s="40"/>
      <c r="G413" s="40"/>
    </row>
    <row r="414" spans="1:7">
      <c r="A414" s="39"/>
      <c r="B414" s="39"/>
      <c r="C414" s="39"/>
      <c r="D414" s="39"/>
      <c r="E414" s="39"/>
      <c r="F414" s="39"/>
      <c r="G414" s="39"/>
    </row>
    <row r="415" spans="1:7">
      <c r="A415" s="40"/>
      <c r="B415" s="40"/>
      <c r="C415" s="40"/>
      <c r="D415" s="40"/>
      <c r="E415" s="40"/>
      <c r="F415" s="40"/>
      <c r="G415" s="40"/>
    </row>
    <row r="416" spans="1:7">
      <c r="A416" s="39"/>
      <c r="B416" s="39"/>
      <c r="C416" s="39"/>
      <c r="D416" s="39"/>
      <c r="E416" s="39"/>
      <c r="F416" s="39"/>
      <c r="G416" s="39"/>
    </row>
    <row r="417" spans="1:7">
      <c r="A417" s="40"/>
      <c r="B417" s="40"/>
      <c r="C417" s="40"/>
      <c r="D417" s="40"/>
      <c r="E417" s="40"/>
      <c r="F417" s="40"/>
      <c r="G417" s="40"/>
    </row>
    <row r="418" spans="1:7">
      <c r="A418" s="39"/>
      <c r="B418" s="39"/>
      <c r="C418" s="39"/>
      <c r="D418" s="39"/>
      <c r="E418" s="39"/>
      <c r="F418" s="39"/>
      <c r="G418" s="39"/>
    </row>
    <row r="419" spans="1:7">
      <c r="A419" s="40"/>
      <c r="B419" s="40"/>
      <c r="C419" s="40"/>
      <c r="D419" s="40"/>
      <c r="E419" s="40"/>
      <c r="F419" s="40"/>
      <c r="G419" s="40"/>
    </row>
    <row r="420" spans="1:7">
      <c r="A420" s="39"/>
      <c r="B420" s="39"/>
      <c r="C420" s="39"/>
      <c r="D420" s="39"/>
      <c r="E420" s="39"/>
      <c r="F420" s="39"/>
      <c r="G420" s="39"/>
    </row>
    <row r="421" spans="1:7">
      <c r="A421" s="40"/>
      <c r="B421" s="40"/>
      <c r="C421" s="40"/>
      <c r="D421" s="40"/>
      <c r="E421" s="40"/>
      <c r="F421" s="40"/>
      <c r="G421" s="40"/>
    </row>
    <row r="422" spans="1:7">
      <c r="A422" s="39"/>
      <c r="B422" s="39"/>
      <c r="C422" s="39"/>
      <c r="D422" s="39"/>
      <c r="E422" s="39"/>
      <c r="F422" s="39"/>
      <c r="G422" s="39"/>
    </row>
    <row r="423" spans="1:7">
      <c r="A423" s="40"/>
      <c r="B423" s="40"/>
      <c r="C423" s="40"/>
      <c r="D423" s="40"/>
      <c r="E423" s="40"/>
      <c r="F423" s="40"/>
      <c r="G423" s="40"/>
    </row>
    <row r="424" spans="1:7">
      <c r="A424" s="39"/>
      <c r="B424" s="39"/>
      <c r="C424" s="39"/>
      <c r="D424" s="39"/>
      <c r="E424" s="39"/>
      <c r="F424" s="39"/>
      <c r="G424" s="39"/>
    </row>
    <row r="425" spans="1:7">
      <c r="A425" s="40"/>
      <c r="B425" s="40"/>
      <c r="C425" s="40"/>
      <c r="D425" s="40"/>
      <c r="E425" s="40"/>
      <c r="F425" s="40"/>
      <c r="G425" s="40"/>
    </row>
    <row r="426" spans="1:7">
      <c r="A426" s="39"/>
      <c r="B426" s="39"/>
      <c r="C426" s="39"/>
      <c r="D426" s="39"/>
      <c r="E426" s="39"/>
      <c r="F426" s="39"/>
      <c r="G426" s="39"/>
    </row>
    <row r="427" spans="1:7">
      <c r="A427" s="40"/>
      <c r="B427" s="40"/>
      <c r="C427" s="40"/>
      <c r="D427" s="40"/>
      <c r="E427" s="40"/>
      <c r="F427" s="40"/>
      <c r="G427" s="40"/>
    </row>
    <row r="428" spans="1:7">
      <c r="A428" s="39"/>
      <c r="B428" s="39"/>
      <c r="C428" s="39"/>
      <c r="D428" s="39"/>
      <c r="E428" s="39"/>
      <c r="F428" s="39"/>
      <c r="G428" s="39"/>
    </row>
    <row r="429" spans="1:7">
      <c r="A429" s="40"/>
      <c r="B429" s="40"/>
      <c r="C429" s="40"/>
      <c r="D429" s="40"/>
      <c r="E429" s="40"/>
      <c r="F429" s="40"/>
      <c r="G429" s="40"/>
    </row>
    <row r="430" spans="1:7">
      <c r="A430" s="39"/>
      <c r="B430" s="39"/>
      <c r="C430" s="39"/>
      <c r="D430" s="39"/>
      <c r="E430" s="39"/>
      <c r="F430" s="39"/>
      <c r="G430" s="39"/>
    </row>
    <row r="431" spans="1:7">
      <c r="A431" s="40"/>
      <c r="B431" s="40"/>
      <c r="C431" s="40"/>
      <c r="D431" s="40"/>
      <c r="E431" s="40"/>
      <c r="F431" s="40"/>
      <c r="G431" s="40"/>
    </row>
    <row r="432" spans="1:7">
      <c r="A432" s="39"/>
      <c r="B432" s="39"/>
      <c r="C432" s="39"/>
      <c r="D432" s="39"/>
      <c r="E432" s="39"/>
      <c r="F432" s="39"/>
      <c r="G432" s="39"/>
    </row>
    <row r="433" spans="1:7">
      <c r="A433" s="40"/>
      <c r="B433" s="40"/>
      <c r="C433" s="40"/>
      <c r="D433" s="40"/>
      <c r="E433" s="40"/>
      <c r="F433" s="40"/>
      <c r="G433" s="40"/>
    </row>
    <row r="434" spans="1:7">
      <c r="A434" s="39"/>
      <c r="B434" s="39"/>
      <c r="C434" s="39"/>
      <c r="D434" s="39"/>
      <c r="E434" s="39"/>
      <c r="F434" s="39"/>
      <c r="G434" s="39"/>
    </row>
    <row r="435" spans="1:7">
      <c r="A435" s="40"/>
      <c r="B435" s="40"/>
      <c r="C435" s="40"/>
      <c r="D435" s="40"/>
      <c r="E435" s="40"/>
      <c r="F435" s="40"/>
      <c r="G435" s="40"/>
    </row>
    <row r="436" spans="1:7">
      <c r="A436" s="39"/>
      <c r="B436" s="39"/>
      <c r="C436" s="39"/>
      <c r="D436" s="39"/>
      <c r="E436" s="39"/>
      <c r="F436" s="39"/>
      <c r="G436" s="39"/>
    </row>
    <row r="437" spans="1:7">
      <c r="A437" s="40"/>
      <c r="B437" s="40"/>
      <c r="C437" s="40"/>
      <c r="D437" s="40"/>
      <c r="E437" s="40"/>
      <c r="F437" s="40"/>
      <c r="G437" s="40"/>
    </row>
    <row r="438" spans="1:7">
      <c r="A438" s="39"/>
      <c r="B438" s="39"/>
      <c r="C438" s="39"/>
      <c r="D438" s="39"/>
      <c r="E438" s="39"/>
      <c r="F438" s="39"/>
      <c r="G438" s="39"/>
    </row>
    <row r="439" spans="1:7">
      <c r="A439" s="40"/>
      <c r="B439" s="40"/>
      <c r="C439" s="40"/>
      <c r="D439" s="40"/>
      <c r="E439" s="40"/>
      <c r="F439" s="40"/>
      <c r="G439" s="40"/>
    </row>
    <row r="440" spans="1:7">
      <c r="A440" s="39"/>
      <c r="B440" s="39"/>
      <c r="C440" s="39"/>
      <c r="D440" s="39"/>
      <c r="E440" s="39"/>
      <c r="F440" s="39"/>
      <c r="G440" s="39"/>
    </row>
    <row r="441" spans="1:7">
      <c r="A441" s="40"/>
      <c r="B441" s="40"/>
      <c r="C441" s="40"/>
      <c r="D441" s="40"/>
      <c r="E441" s="40"/>
      <c r="F441" s="40"/>
      <c r="G441" s="40"/>
    </row>
    <row r="442" spans="1:7">
      <c r="A442" s="39"/>
      <c r="B442" s="39"/>
      <c r="C442" s="39"/>
      <c r="D442" s="39"/>
      <c r="E442" s="39"/>
      <c r="F442" s="39"/>
      <c r="G442" s="39"/>
    </row>
    <row r="443" spans="1:7">
      <c r="A443" s="40"/>
      <c r="B443" s="40"/>
      <c r="C443" s="40"/>
      <c r="D443" s="40"/>
      <c r="E443" s="40"/>
      <c r="F443" s="40"/>
      <c r="G443" s="40"/>
    </row>
    <row r="444" spans="1:7">
      <c r="A444" s="39"/>
      <c r="B444" s="39"/>
      <c r="C444" s="39"/>
      <c r="D444" s="39"/>
      <c r="E444" s="39"/>
      <c r="F444" s="39"/>
      <c r="G444" s="39"/>
    </row>
    <row r="445" spans="1:7">
      <c r="A445" s="40"/>
      <c r="B445" s="40"/>
      <c r="C445" s="40"/>
      <c r="D445" s="40"/>
      <c r="E445" s="40"/>
      <c r="F445" s="40"/>
      <c r="G445" s="40"/>
    </row>
    <row r="446" spans="1:7">
      <c r="A446" s="39"/>
      <c r="B446" s="39"/>
      <c r="C446" s="39"/>
      <c r="D446" s="39"/>
      <c r="E446" s="39"/>
      <c r="F446" s="39"/>
      <c r="G446" s="39"/>
    </row>
    <row r="447" spans="1:7">
      <c r="A447" s="40"/>
      <c r="B447" s="40"/>
      <c r="C447" s="40"/>
      <c r="D447" s="40"/>
      <c r="E447" s="40"/>
      <c r="F447" s="40"/>
      <c r="G447" s="40"/>
    </row>
    <row r="448" spans="1:7">
      <c r="A448" s="39"/>
      <c r="B448" s="39"/>
      <c r="C448" s="39"/>
      <c r="D448" s="39"/>
      <c r="E448" s="39"/>
      <c r="F448" s="39"/>
      <c r="G448" s="39"/>
    </row>
    <row r="449" spans="1:7">
      <c r="A449" s="40"/>
      <c r="B449" s="40"/>
      <c r="C449" s="40"/>
      <c r="D449" s="40"/>
      <c r="E449" s="40"/>
      <c r="F449" s="40"/>
      <c r="G449" s="40"/>
    </row>
    <row r="450" spans="1:7">
      <c r="A450" s="39"/>
      <c r="B450" s="39"/>
      <c r="C450" s="39"/>
      <c r="D450" s="39"/>
      <c r="E450" s="39"/>
      <c r="F450" s="39"/>
      <c r="G450" s="39"/>
    </row>
    <row r="451" spans="1:7">
      <c r="A451" s="40"/>
      <c r="B451" s="40"/>
      <c r="C451" s="40"/>
      <c r="D451" s="40"/>
      <c r="E451" s="40"/>
      <c r="F451" s="40"/>
      <c r="G451" s="40"/>
    </row>
    <row r="452" spans="1:7">
      <c r="A452" s="39"/>
      <c r="B452" s="39"/>
      <c r="C452" s="39"/>
      <c r="D452" s="39"/>
      <c r="E452" s="39"/>
      <c r="F452" s="39"/>
      <c r="G452" s="39"/>
    </row>
    <row r="453" spans="1:7">
      <c r="A453" s="40"/>
      <c r="B453" s="40"/>
      <c r="C453" s="40"/>
      <c r="D453" s="40"/>
      <c r="E453" s="40"/>
      <c r="F453" s="40"/>
      <c r="G453" s="40"/>
    </row>
    <row r="454" spans="1:7">
      <c r="A454" s="39"/>
      <c r="B454" s="39"/>
      <c r="C454" s="39"/>
      <c r="D454" s="39"/>
      <c r="E454" s="39"/>
      <c r="F454" s="39"/>
      <c r="G454" s="39"/>
    </row>
    <row r="455" spans="1:7">
      <c r="A455" s="40"/>
      <c r="B455" s="40"/>
      <c r="C455" s="40"/>
      <c r="D455" s="40"/>
      <c r="E455" s="40"/>
      <c r="F455" s="40"/>
      <c r="G455" s="40"/>
    </row>
    <row r="456" spans="1:7">
      <c r="A456" s="39"/>
      <c r="B456" s="39"/>
      <c r="C456" s="39"/>
      <c r="D456" s="39"/>
      <c r="E456" s="39"/>
      <c r="F456" s="39"/>
      <c r="G456" s="39"/>
    </row>
    <row r="457" spans="1:7">
      <c r="A457" s="40"/>
      <c r="B457" s="40"/>
      <c r="C457" s="40"/>
      <c r="D457" s="40"/>
      <c r="E457" s="40"/>
      <c r="F457" s="40"/>
      <c r="G457" s="40"/>
    </row>
    <row r="458" spans="1:7">
      <c r="A458" s="39"/>
      <c r="B458" s="39"/>
      <c r="C458" s="39"/>
      <c r="D458" s="39"/>
      <c r="E458" s="39"/>
      <c r="F458" s="39"/>
      <c r="G458" s="39"/>
    </row>
    <row r="459" spans="1:7">
      <c r="A459" s="40"/>
      <c r="B459" s="40"/>
      <c r="C459" s="40"/>
      <c r="D459" s="40"/>
      <c r="E459" s="40"/>
      <c r="F459" s="40"/>
      <c r="G459" s="40"/>
    </row>
    <row r="460" spans="1:7">
      <c r="A460" s="39"/>
      <c r="B460" s="39"/>
      <c r="C460" s="39"/>
      <c r="D460" s="39"/>
      <c r="E460" s="39"/>
      <c r="F460" s="39"/>
      <c r="G460" s="39"/>
    </row>
    <row r="461" spans="1:7">
      <c r="A461" s="40"/>
      <c r="B461" s="40"/>
      <c r="C461" s="40"/>
      <c r="D461" s="40"/>
      <c r="E461" s="40"/>
      <c r="F461" s="40"/>
      <c r="G461" s="40"/>
    </row>
    <row r="462" spans="1:7">
      <c r="A462" s="39"/>
      <c r="B462" s="39"/>
      <c r="C462" s="39"/>
      <c r="D462" s="39"/>
      <c r="E462" s="39"/>
      <c r="F462" s="39"/>
      <c r="G462" s="39"/>
    </row>
    <row r="463" spans="1:7">
      <c r="A463" s="40"/>
      <c r="B463" s="40"/>
      <c r="C463" s="40"/>
      <c r="D463" s="40"/>
      <c r="E463" s="40"/>
      <c r="F463" s="40"/>
      <c r="G463" s="40"/>
    </row>
    <row r="464" spans="1:7">
      <c r="A464" s="39"/>
      <c r="B464" s="39"/>
      <c r="C464" s="39"/>
      <c r="D464" s="39"/>
      <c r="E464" s="39"/>
      <c r="F464" s="39"/>
      <c r="G464" s="39"/>
    </row>
    <row r="465" spans="1:7">
      <c r="A465" s="40"/>
      <c r="B465" s="40"/>
      <c r="C465" s="40"/>
      <c r="D465" s="40"/>
      <c r="E465" s="40"/>
      <c r="F465" s="40"/>
      <c r="G465" s="40"/>
    </row>
    <row r="466" spans="1:7">
      <c r="A466" s="39"/>
      <c r="B466" s="39"/>
      <c r="C466" s="39"/>
      <c r="D466" s="39"/>
      <c r="E466" s="39"/>
      <c r="F466" s="39"/>
      <c r="G466" s="39"/>
    </row>
    <row r="467" spans="1:7">
      <c r="A467" s="40"/>
      <c r="B467" s="40"/>
      <c r="C467" s="40"/>
      <c r="D467" s="40"/>
      <c r="E467" s="40"/>
      <c r="F467" s="40"/>
      <c r="G467" s="40"/>
    </row>
    <row r="468" spans="1:7">
      <c r="A468" s="39"/>
      <c r="B468" s="39"/>
      <c r="C468" s="39"/>
      <c r="D468" s="39"/>
      <c r="E468" s="39"/>
      <c r="F468" s="39"/>
      <c r="G468" s="39"/>
    </row>
    <row r="469" spans="1:7">
      <c r="A469" s="40"/>
      <c r="B469" s="40"/>
      <c r="C469" s="40"/>
      <c r="D469" s="40"/>
      <c r="E469" s="40"/>
      <c r="F469" s="40"/>
      <c r="G469" s="40"/>
    </row>
    <row r="470" spans="1:7">
      <c r="A470" s="39"/>
      <c r="B470" s="39"/>
      <c r="C470" s="39"/>
      <c r="D470" s="39"/>
      <c r="E470" s="39"/>
      <c r="F470" s="39"/>
      <c r="G470" s="39"/>
    </row>
    <row r="471" spans="1:7">
      <c r="A471" s="40"/>
      <c r="B471" s="40"/>
      <c r="C471" s="40"/>
      <c r="D471" s="40"/>
      <c r="E471" s="40"/>
      <c r="F471" s="40"/>
      <c r="G471" s="40"/>
    </row>
    <row r="472" spans="1:7">
      <c r="A472" s="39"/>
      <c r="B472" s="39"/>
      <c r="C472" s="39"/>
      <c r="D472" s="39"/>
      <c r="E472" s="39"/>
      <c r="F472" s="39"/>
      <c r="G472" s="39"/>
    </row>
    <row r="473" spans="1:7">
      <c r="A473" s="40"/>
      <c r="B473" s="40"/>
      <c r="C473" s="40"/>
      <c r="D473" s="40"/>
      <c r="E473" s="40"/>
      <c r="F473" s="40"/>
      <c r="G473" s="40"/>
    </row>
    <row r="474" spans="1:7">
      <c r="A474" s="39"/>
      <c r="B474" s="39"/>
      <c r="C474" s="39"/>
      <c r="D474" s="39"/>
      <c r="E474" s="39"/>
      <c r="F474" s="39"/>
      <c r="G474" s="39"/>
    </row>
    <row r="475" spans="1:7">
      <c r="A475" s="40"/>
      <c r="B475" s="40"/>
      <c r="C475" s="40"/>
      <c r="D475" s="40"/>
      <c r="E475" s="40"/>
      <c r="F475" s="40"/>
      <c r="G475" s="40"/>
    </row>
    <row r="476" spans="1:7">
      <c r="A476" s="39"/>
      <c r="B476" s="39"/>
      <c r="C476" s="39"/>
      <c r="D476" s="39"/>
      <c r="E476" s="39"/>
      <c r="F476" s="39"/>
      <c r="G476" s="39"/>
    </row>
    <row r="477" spans="1:7">
      <c r="A477" s="40"/>
      <c r="B477" s="40"/>
      <c r="C477" s="40"/>
      <c r="D477" s="40"/>
      <c r="E477" s="40"/>
      <c r="F477" s="40"/>
      <c r="G477" s="40"/>
    </row>
    <row r="478" spans="1:7">
      <c r="A478" s="39"/>
      <c r="B478" s="39"/>
      <c r="C478" s="39"/>
      <c r="D478" s="39"/>
      <c r="E478" s="39"/>
      <c r="F478" s="39"/>
      <c r="G478" s="39"/>
    </row>
    <row r="479" spans="1:7">
      <c r="A479" s="40"/>
      <c r="B479" s="40"/>
      <c r="C479" s="40"/>
      <c r="D479" s="40"/>
      <c r="E479" s="40"/>
      <c r="F479" s="40"/>
      <c r="G479" s="40"/>
    </row>
    <row r="480" spans="1:7">
      <c r="A480" s="39"/>
      <c r="B480" s="39"/>
      <c r="C480" s="39"/>
      <c r="D480" s="39"/>
      <c r="E480" s="39"/>
      <c r="F480" s="39"/>
      <c r="G480" s="39"/>
    </row>
    <row r="481" spans="1:7">
      <c r="A481" s="40"/>
      <c r="B481" s="40"/>
      <c r="C481" s="40"/>
      <c r="D481" s="40"/>
      <c r="E481" s="40"/>
      <c r="F481" s="40"/>
      <c r="G481" s="40"/>
    </row>
    <row r="482" spans="1:7">
      <c r="A482" s="39"/>
      <c r="B482" s="39"/>
      <c r="C482" s="39"/>
      <c r="D482" s="39"/>
      <c r="E482" s="39"/>
      <c r="F482" s="39"/>
      <c r="G482" s="39"/>
    </row>
    <row r="483" spans="1:7">
      <c r="A483" s="40"/>
      <c r="B483" s="40"/>
      <c r="C483" s="40"/>
      <c r="D483" s="40"/>
      <c r="E483" s="40"/>
      <c r="F483" s="40"/>
      <c r="G483" s="40"/>
    </row>
    <row r="484" spans="1:7">
      <c r="A484" s="39"/>
      <c r="B484" s="39"/>
      <c r="C484" s="39"/>
      <c r="D484" s="39"/>
      <c r="E484" s="39"/>
      <c r="F484" s="39"/>
      <c r="G484" s="39"/>
    </row>
    <row r="485" spans="1:7">
      <c r="A485" s="40"/>
      <c r="B485" s="40"/>
      <c r="C485" s="40"/>
      <c r="D485" s="40"/>
      <c r="E485" s="40"/>
      <c r="F485" s="40"/>
      <c r="G485" s="40"/>
    </row>
    <row r="486" spans="1:7">
      <c r="A486" s="39"/>
      <c r="B486" s="39"/>
      <c r="C486" s="39"/>
      <c r="D486" s="39"/>
      <c r="E486" s="39"/>
      <c r="F486" s="39"/>
      <c r="G486" s="39"/>
    </row>
    <row r="487" spans="1:7">
      <c r="A487" s="40"/>
      <c r="B487" s="40"/>
      <c r="C487" s="40"/>
      <c r="D487" s="40"/>
      <c r="E487" s="40"/>
      <c r="F487" s="40"/>
      <c r="G487" s="40"/>
    </row>
    <row r="488" spans="1:7">
      <c r="A488" s="39"/>
      <c r="B488" s="39"/>
      <c r="C488" s="39"/>
      <c r="D488" s="39"/>
      <c r="E488" s="39"/>
      <c r="F488" s="39"/>
      <c r="G488" s="39"/>
    </row>
    <row r="489" spans="1:7">
      <c r="A489" s="40"/>
      <c r="B489" s="40"/>
      <c r="C489" s="40"/>
      <c r="D489" s="40"/>
      <c r="E489" s="40"/>
      <c r="F489" s="40"/>
      <c r="G489" s="40"/>
    </row>
    <row r="490" spans="1:7">
      <c r="A490" s="39"/>
      <c r="B490" s="39"/>
      <c r="C490" s="39"/>
      <c r="D490" s="39"/>
      <c r="E490" s="39"/>
      <c r="F490" s="39"/>
      <c r="G490" s="39"/>
    </row>
    <row r="491" spans="1:7">
      <c r="A491" s="40"/>
      <c r="B491" s="40"/>
      <c r="C491" s="40"/>
      <c r="D491" s="40"/>
      <c r="E491" s="40"/>
      <c r="F491" s="40"/>
      <c r="G491" s="40"/>
    </row>
    <row r="492" spans="1:7">
      <c r="A492" s="39"/>
      <c r="B492" s="39"/>
      <c r="C492" s="39"/>
      <c r="D492" s="39"/>
      <c r="E492" s="39"/>
      <c r="F492" s="39"/>
      <c r="G492" s="39"/>
    </row>
    <row r="493" spans="1:7">
      <c r="A493" s="40"/>
      <c r="B493" s="40"/>
      <c r="C493" s="40"/>
      <c r="D493" s="40"/>
      <c r="E493" s="40"/>
      <c r="F493" s="40"/>
      <c r="G493" s="40"/>
    </row>
    <row r="494" spans="1:7">
      <c r="A494" s="39"/>
      <c r="B494" s="39"/>
      <c r="C494" s="39"/>
      <c r="D494" s="39"/>
      <c r="E494" s="39"/>
      <c r="F494" s="39"/>
      <c r="G494" s="39"/>
    </row>
    <row r="495" spans="1:7">
      <c r="A495" s="40"/>
      <c r="B495" s="40"/>
      <c r="C495" s="40"/>
      <c r="D495" s="40"/>
      <c r="E495" s="40"/>
      <c r="F495" s="40"/>
      <c r="G495" s="40"/>
    </row>
    <row r="496" spans="1:7">
      <c r="A496" s="39"/>
      <c r="B496" s="39"/>
      <c r="C496" s="39"/>
      <c r="D496" s="39"/>
      <c r="E496" s="39"/>
      <c r="F496" s="39"/>
      <c r="G496" s="39"/>
    </row>
    <row r="497" spans="1:7">
      <c r="A497" s="40"/>
      <c r="B497" s="40"/>
      <c r="C497" s="40"/>
      <c r="D497" s="40"/>
      <c r="E497" s="40"/>
      <c r="F497" s="40"/>
      <c r="G497" s="40"/>
    </row>
    <row r="498" spans="1:7">
      <c r="A498" s="39"/>
      <c r="B498" s="39"/>
      <c r="C498" s="39"/>
      <c r="D498" s="39"/>
      <c r="E498" s="39"/>
      <c r="F498" s="39"/>
      <c r="G498" s="39"/>
    </row>
    <row r="499" spans="1:7">
      <c r="A499" s="40"/>
      <c r="B499" s="40"/>
      <c r="C499" s="40"/>
      <c r="D499" s="40"/>
      <c r="E499" s="40"/>
      <c r="F499" s="40"/>
      <c r="G499" s="40"/>
    </row>
    <row r="500" spans="1:7">
      <c r="A500" s="39"/>
      <c r="B500" s="39"/>
      <c r="C500" s="39"/>
      <c r="D500" s="39"/>
      <c r="E500" s="39"/>
      <c r="F500" s="39"/>
      <c r="G500" s="39"/>
    </row>
    <row r="501" spans="1:7">
      <c r="A501" s="40"/>
      <c r="B501" s="40"/>
      <c r="C501" s="40"/>
      <c r="D501" s="40"/>
      <c r="E501" s="40"/>
      <c r="F501" s="40"/>
      <c r="G501" s="40"/>
    </row>
    <row r="502" spans="1:7">
      <c r="A502" s="39"/>
      <c r="B502" s="39"/>
      <c r="C502" s="39"/>
      <c r="D502" s="39"/>
      <c r="E502" s="39"/>
      <c r="F502" s="39"/>
      <c r="G502" s="39"/>
    </row>
    <row r="503" spans="1:7">
      <c r="A503" s="40"/>
      <c r="B503" s="40"/>
      <c r="C503" s="40"/>
      <c r="D503" s="40"/>
      <c r="E503" s="40"/>
      <c r="F503" s="40"/>
      <c r="G503" s="40"/>
    </row>
    <row r="504" spans="1:7">
      <c r="A504" s="39"/>
      <c r="B504" s="39"/>
      <c r="C504" s="39"/>
      <c r="D504" s="39"/>
      <c r="E504" s="39"/>
      <c r="F504" s="39"/>
      <c r="G504" s="39"/>
    </row>
    <row r="505" spans="1:7">
      <c r="A505" s="40"/>
      <c r="B505" s="40"/>
      <c r="C505" s="40"/>
      <c r="D505" s="40"/>
      <c r="E505" s="40"/>
      <c r="F505" s="40"/>
      <c r="G505" s="40"/>
    </row>
    <row r="506" spans="1:7">
      <c r="A506" s="39"/>
      <c r="B506" s="39"/>
      <c r="C506" s="39"/>
      <c r="D506" s="39"/>
      <c r="E506" s="39"/>
      <c r="F506" s="39"/>
      <c r="G506" s="39"/>
    </row>
    <row r="507" spans="1:7">
      <c r="A507" s="40"/>
      <c r="B507" s="40"/>
      <c r="C507" s="40"/>
      <c r="D507" s="40"/>
      <c r="E507" s="40"/>
      <c r="F507" s="40"/>
      <c r="G507" s="40"/>
    </row>
    <row r="508" spans="1:7">
      <c r="A508" s="39"/>
      <c r="B508" s="39"/>
      <c r="C508" s="39"/>
      <c r="D508" s="39"/>
      <c r="E508" s="39"/>
      <c r="F508" s="39"/>
      <c r="G508" s="39"/>
    </row>
    <row r="509" spans="1:7">
      <c r="A509" s="40"/>
      <c r="B509" s="40"/>
      <c r="C509" s="40"/>
      <c r="D509" s="40"/>
      <c r="E509" s="40"/>
      <c r="F509" s="40"/>
      <c r="G509" s="40"/>
    </row>
    <row r="510" spans="1:7">
      <c r="A510" s="39"/>
      <c r="B510" s="39"/>
      <c r="C510" s="39"/>
      <c r="D510" s="39"/>
      <c r="E510" s="39"/>
      <c r="F510" s="39"/>
      <c r="G510" s="39"/>
    </row>
    <row r="511" spans="1:7">
      <c r="A511" s="40"/>
      <c r="B511" s="40"/>
      <c r="C511" s="40"/>
      <c r="D511" s="40"/>
      <c r="E511" s="40"/>
      <c r="F511" s="40"/>
      <c r="G511" s="40"/>
    </row>
    <row r="512" spans="1:7">
      <c r="A512" s="39"/>
      <c r="B512" s="39"/>
      <c r="C512" s="39"/>
      <c r="D512" s="39"/>
      <c r="E512" s="39"/>
      <c r="F512" s="39"/>
      <c r="G512" s="39"/>
    </row>
    <row r="513" spans="1:7">
      <c r="A513" s="40"/>
      <c r="B513" s="40"/>
      <c r="C513" s="40"/>
      <c r="D513" s="40"/>
      <c r="E513" s="40"/>
      <c r="F513" s="40"/>
      <c r="G513" s="40"/>
    </row>
    <row r="514" spans="1:7">
      <c r="A514" s="39"/>
      <c r="B514" s="39"/>
      <c r="C514" s="39"/>
      <c r="D514" s="39"/>
      <c r="E514" s="39"/>
      <c r="F514" s="39"/>
      <c r="G514" s="39"/>
    </row>
    <row r="515" spans="1:7">
      <c r="A515" s="40"/>
      <c r="B515" s="40"/>
      <c r="C515" s="40"/>
      <c r="D515" s="40"/>
      <c r="E515" s="40"/>
      <c r="F515" s="40"/>
      <c r="G515" s="40"/>
    </row>
    <row r="516" spans="1:7">
      <c r="A516" s="39"/>
      <c r="B516" s="39"/>
      <c r="C516" s="39"/>
      <c r="D516" s="39"/>
      <c r="E516" s="39"/>
      <c r="F516" s="39"/>
      <c r="G516" s="39"/>
    </row>
    <row r="517" spans="1:7">
      <c r="A517" s="40"/>
      <c r="B517" s="40"/>
      <c r="C517" s="40"/>
      <c r="D517" s="40"/>
      <c r="E517" s="40"/>
      <c r="F517" s="40"/>
      <c r="G517" s="40"/>
    </row>
    <row r="518" spans="1:7">
      <c r="A518" s="39"/>
      <c r="B518" s="39"/>
      <c r="C518" s="39"/>
      <c r="D518" s="39"/>
      <c r="E518" s="39"/>
      <c r="F518" s="39"/>
      <c r="G518" s="39"/>
    </row>
    <row r="519" spans="1:7">
      <c r="A519" s="40"/>
      <c r="B519" s="40"/>
      <c r="C519" s="40"/>
      <c r="D519" s="40"/>
      <c r="E519" s="40"/>
      <c r="F519" s="40"/>
      <c r="G519" s="40"/>
    </row>
    <row r="520" spans="1:7">
      <c r="A520" s="39"/>
      <c r="B520" s="39"/>
      <c r="C520" s="39"/>
      <c r="D520" s="39"/>
      <c r="E520" s="39"/>
      <c r="F520" s="39"/>
      <c r="G520" s="39"/>
    </row>
    <row r="521" spans="1:7">
      <c r="A521" s="40"/>
      <c r="B521" s="40"/>
      <c r="C521" s="40"/>
      <c r="D521" s="40"/>
      <c r="E521" s="40"/>
      <c r="F521" s="40"/>
      <c r="G521" s="40"/>
    </row>
    <row r="522" spans="1:7">
      <c r="A522" s="39"/>
      <c r="B522" s="39"/>
      <c r="C522" s="39"/>
      <c r="D522" s="39"/>
      <c r="E522" s="39"/>
      <c r="F522" s="39"/>
      <c r="G522" s="39"/>
    </row>
    <row r="523" spans="1:7">
      <c r="A523" s="40"/>
      <c r="B523" s="40"/>
      <c r="C523" s="40"/>
      <c r="D523" s="40"/>
      <c r="E523" s="40"/>
      <c r="F523" s="40"/>
      <c r="G523" s="40"/>
    </row>
    <row r="524" spans="1:7">
      <c r="A524" s="39"/>
      <c r="B524" s="39"/>
      <c r="C524" s="39"/>
      <c r="D524" s="39"/>
      <c r="E524" s="39"/>
      <c r="F524" s="39"/>
      <c r="G524" s="39"/>
    </row>
    <row r="525" spans="1:7">
      <c r="A525" s="40"/>
      <c r="B525" s="40"/>
      <c r="C525" s="40"/>
      <c r="D525" s="40"/>
      <c r="E525" s="40"/>
      <c r="F525" s="40"/>
      <c r="G525" s="40"/>
    </row>
    <row r="526" spans="1:7">
      <c r="A526" s="39"/>
      <c r="B526" s="39"/>
      <c r="C526" s="39"/>
      <c r="D526" s="39"/>
      <c r="E526" s="39"/>
      <c r="F526" s="39"/>
      <c r="G526" s="39"/>
    </row>
    <row r="527" spans="1:7">
      <c r="A527" s="40"/>
      <c r="B527" s="40"/>
      <c r="C527" s="40"/>
      <c r="D527" s="40"/>
      <c r="E527" s="40"/>
      <c r="F527" s="40"/>
      <c r="G527" s="40"/>
    </row>
    <row r="528" spans="1:7">
      <c r="A528" s="39"/>
      <c r="B528" s="39"/>
      <c r="C528" s="39"/>
      <c r="D528" s="39"/>
      <c r="E528" s="39"/>
      <c r="F528" s="39"/>
      <c r="G528" s="39"/>
    </row>
    <row r="529" spans="1:7">
      <c r="A529" s="40"/>
      <c r="B529" s="40"/>
      <c r="C529" s="40"/>
      <c r="D529" s="40"/>
      <c r="E529" s="40"/>
      <c r="F529" s="40"/>
      <c r="G529" s="40"/>
    </row>
    <row r="530" spans="1:7">
      <c r="A530" s="39"/>
      <c r="B530" s="39"/>
      <c r="C530" s="39"/>
      <c r="D530" s="39"/>
      <c r="E530" s="39"/>
      <c r="F530" s="39"/>
      <c r="G530" s="39"/>
    </row>
    <row r="531" spans="1:7">
      <c r="A531" s="40"/>
      <c r="B531" s="40"/>
      <c r="C531" s="40"/>
      <c r="D531" s="40"/>
      <c r="E531" s="40"/>
      <c r="F531" s="40"/>
      <c r="G531" s="40"/>
    </row>
    <row r="532" spans="1:7">
      <c r="A532" s="39"/>
      <c r="B532" s="39"/>
      <c r="C532" s="39"/>
      <c r="D532" s="39"/>
      <c r="E532" s="39"/>
      <c r="F532" s="39"/>
      <c r="G532" s="39"/>
    </row>
    <row r="533" spans="1:7">
      <c r="A533" s="40"/>
      <c r="B533" s="40"/>
      <c r="C533" s="40"/>
      <c r="D533" s="40"/>
      <c r="E533" s="40"/>
      <c r="F533" s="40"/>
      <c r="G533" s="40"/>
    </row>
    <row r="534" spans="1:7">
      <c r="A534" s="39"/>
      <c r="B534" s="39"/>
      <c r="C534" s="39"/>
      <c r="D534" s="39"/>
      <c r="E534" s="39"/>
      <c r="F534" s="39"/>
      <c r="G534" s="39"/>
    </row>
    <row r="535" spans="1:7">
      <c r="A535" s="40"/>
      <c r="B535" s="40"/>
      <c r="C535" s="40"/>
      <c r="D535" s="40"/>
      <c r="E535" s="40"/>
      <c r="F535" s="40"/>
      <c r="G535" s="40"/>
    </row>
    <row r="536" spans="1:7">
      <c r="A536" s="39"/>
      <c r="B536" s="39"/>
      <c r="C536" s="39"/>
      <c r="D536" s="39"/>
      <c r="E536" s="39"/>
      <c r="F536" s="39"/>
      <c r="G536" s="39"/>
    </row>
    <row r="537" spans="1:7">
      <c r="A537" s="40"/>
      <c r="B537" s="40"/>
      <c r="C537" s="40"/>
      <c r="D537" s="40"/>
      <c r="E537" s="40"/>
      <c r="F537" s="40"/>
      <c r="G537" s="40"/>
    </row>
    <row r="538" spans="1:7">
      <c r="A538" s="39"/>
      <c r="B538" s="39"/>
      <c r="C538" s="39"/>
      <c r="D538" s="39"/>
      <c r="E538" s="39"/>
      <c r="F538" s="39"/>
      <c r="G538" s="39"/>
    </row>
    <row r="539" spans="1:7">
      <c r="A539" s="40"/>
      <c r="B539" s="40"/>
      <c r="C539" s="40"/>
      <c r="D539" s="40"/>
      <c r="E539" s="40"/>
      <c r="F539" s="40"/>
      <c r="G539" s="40"/>
    </row>
    <row r="540" spans="1:7">
      <c r="A540" s="39"/>
      <c r="B540" s="39"/>
      <c r="C540" s="39"/>
      <c r="D540" s="39"/>
      <c r="E540" s="39"/>
      <c r="F540" s="39"/>
      <c r="G540" s="39"/>
    </row>
    <row r="541" spans="1:7">
      <c r="A541" s="40"/>
      <c r="B541" s="40"/>
      <c r="C541" s="40"/>
      <c r="D541" s="40"/>
      <c r="E541" s="40"/>
      <c r="F541" s="40"/>
      <c r="G541" s="40"/>
    </row>
    <row r="542" spans="1:7">
      <c r="A542" s="39"/>
      <c r="B542" s="39"/>
      <c r="C542" s="39"/>
      <c r="D542" s="39"/>
      <c r="E542" s="39"/>
      <c r="F542" s="39"/>
      <c r="G542" s="39"/>
    </row>
    <row r="543" spans="1:7">
      <c r="A543" s="40"/>
      <c r="B543" s="40"/>
      <c r="C543" s="40"/>
      <c r="D543" s="40"/>
      <c r="E543" s="40"/>
      <c r="F543" s="40"/>
      <c r="G543" s="40"/>
    </row>
    <row r="544" spans="1:7">
      <c r="A544" s="39"/>
      <c r="B544" s="39"/>
      <c r="C544" s="39"/>
      <c r="D544" s="39"/>
      <c r="E544" s="39"/>
      <c r="F544" s="39"/>
      <c r="G544" s="39"/>
    </row>
    <row r="545" spans="1:7">
      <c r="A545" s="40"/>
      <c r="B545" s="40"/>
      <c r="C545" s="40"/>
      <c r="D545" s="40"/>
      <c r="E545" s="40"/>
      <c r="F545" s="40"/>
      <c r="G545" s="40"/>
    </row>
    <row r="546" spans="1:7">
      <c r="A546" s="39"/>
      <c r="B546" s="39"/>
      <c r="C546" s="39"/>
      <c r="D546" s="39"/>
      <c r="E546" s="39"/>
      <c r="F546" s="39"/>
      <c r="G546" s="39"/>
    </row>
    <row r="547" spans="1:7">
      <c r="A547" s="40"/>
      <c r="B547" s="40"/>
      <c r="C547" s="40"/>
      <c r="D547" s="40"/>
      <c r="E547" s="40"/>
      <c r="F547" s="40"/>
      <c r="G547" s="40"/>
    </row>
    <row r="548" spans="1:7">
      <c r="A548" s="39"/>
      <c r="B548" s="39"/>
      <c r="C548" s="39"/>
      <c r="D548" s="39"/>
      <c r="E548" s="39"/>
      <c r="F548" s="39"/>
      <c r="G548" s="39"/>
    </row>
    <row r="549" spans="1:7">
      <c r="A549" s="40"/>
      <c r="B549" s="40"/>
      <c r="C549" s="40"/>
      <c r="D549" s="40"/>
      <c r="E549" s="40"/>
      <c r="F549" s="40"/>
      <c r="G549" s="40"/>
    </row>
    <row r="550" spans="1:7">
      <c r="A550" s="39"/>
      <c r="B550" s="39"/>
      <c r="C550" s="39"/>
      <c r="D550" s="39"/>
      <c r="E550" s="39"/>
      <c r="F550" s="39"/>
      <c r="G550" s="39"/>
    </row>
    <row r="551" spans="1:7">
      <c r="A551" s="40"/>
      <c r="B551" s="40"/>
      <c r="C551" s="40"/>
      <c r="D551" s="40"/>
      <c r="E551" s="40"/>
      <c r="F551" s="40"/>
      <c r="G551" s="40"/>
    </row>
    <row r="552" spans="1:7">
      <c r="A552" s="39"/>
      <c r="B552" s="39"/>
      <c r="C552" s="39"/>
      <c r="D552" s="39"/>
      <c r="E552" s="39"/>
      <c r="F552" s="39"/>
      <c r="G552" s="39"/>
    </row>
    <row r="553" spans="1:7">
      <c r="A553" s="40"/>
      <c r="B553" s="40"/>
      <c r="C553" s="40"/>
      <c r="D553" s="40"/>
      <c r="E553" s="40"/>
      <c r="F553" s="40"/>
      <c r="G553" s="40"/>
    </row>
    <row r="554" spans="1:7">
      <c r="A554" s="39"/>
      <c r="B554" s="39"/>
      <c r="C554" s="39"/>
      <c r="D554" s="39"/>
      <c r="E554" s="39"/>
      <c r="F554" s="39"/>
      <c r="G554" s="39"/>
    </row>
    <row r="555" spans="1:7">
      <c r="A555" s="40"/>
      <c r="B555" s="40"/>
      <c r="C555" s="40"/>
      <c r="D555" s="40"/>
      <c r="E555" s="40"/>
      <c r="F555" s="40"/>
      <c r="G555" s="40"/>
    </row>
    <row r="556" spans="1:7">
      <c r="A556" s="39"/>
      <c r="B556" s="39"/>
      <c r="C556" s="39"/>
      <c r="D556" s="39"/>
      <c r="E556" s="39"/>
      <c r="F556" s="39"/>
      <c r="G556" s="39"/>
    </row>
    <row r="557" spans="1:7">
      <c r="A557" s="40"/>
      <c r="B557" s="40"/>
      <c r="C557" s="40"/>
      <c r="D557" s="40"/>
      <c r="E557" s="40"/>
      <c r="F557" s="40"/>
      <c r="G557" s="40"/>
    </row>
    <row r="558" spans="1:7">
      <c r="A558" s="39"/>
      <c r="B558" s="39"/>
      <c r="C558" s="39"/>
      <c r="D558" s="39"/>
      <c r="E558" s="39"/>
      <c r="F558" s="39"/>
      <c r="G558" s="39"/>
    </row>
    <row r="559" spans="1:7">
      <c r="A559" s="40"/>
      <c r="B559" s="40"/>
      <c r="C559" s="40"/>
      <c r="D559" s="40"/>
      <c r="E559" s="40"/>
      <c r="F559" s="40"/>
      <c r="G559" s="40"/>
    </row>
    <row r="560" spans="1:7">
      <c r="A560" s="39"/>
      <c r="B560" s="39"/>
      <c r="C560" s="39"/>
      <c r="D560" s="39"/>
      <c r="E560" s="39"/>
      <c r="F560" s="39"/>
      <c r="G560" s="39"/>
    </row>
    <row r="561" spans="1:7">
      <c r="A561" s="40"/>
      <c r="B561" s="40"/>
      <c r="C561" s="40"/>
      <c r="D561" s="40"/>
      <c r="E561" s="40"/>
      <c r="F561" s="40"/>
      <c r="G561" s="40"/>
    </row>
    <row r="562" spans="1:7">
      <c r="A562" s="39"/>
      <c r="B562" s="39"/>
      <c r="C562" s="39"/>
      <c r="D562" s="39"/>
      <c r="E562" s="39"/>
      <c r="F562" s="39"/>
      <c r="G562" s="39"/>
    </row>
    <row r="563" spans="1:7">
      <c r="A563" s="40"/>
      <c r="B563" s="40"/>
      <c r="C563" s="40"/>
      <c r="D563" s="40"/>
      <c r="E563" s="40"/>
      <c r="F563" s="40"/>
      <c r="G563" s="40"/>
    </row>
    <row r="564" spans="1:7">
      <c r="A564" s="39"/>
      <c r="B564" s="39"/>
      <c r="C564" s="39"/>
      <c r="D564" s="39"/>
      <c r="E564" s="39"/>
      <c r="F564" s="39"/>
      <c r="G564" s="39"/>
    </row>
    <row r="565" spans="1:7">
      <c r="A565" s="40"/>
      <c r="B565" s="40"/>
      <c r="C565" s="40"/>
      <c r="D565" s="40"/>
      <c r="E565" s="40"/>
      <c r="F565" s="40"/>
      <c r="G565" s="40"/>
    </row>
    <row r="566" spans="1:7">
      <c r="A566" s="39"/>
      <c r="B566" s="39"/>
      <c r="C566" s="39"/>
      <c r="D566" s="39"/>
      <c r="E566" s="39"/>
      <c r="F566" s="39"/>
      <c r="G566" s="39"/>
    </row>
    <row r="567" spans="1:7">
      <c r="A567" s="40"/>
      <c r="B567" s="40"/>
      <c r="C567" s="40"/>
      <c r="D567" s="40"/>
      <c r="E567" s="40"/>
      <c r="F567" s="40"/>
      <c r="G567" s="40"/>
    </row>
    <row r="568" spans="1:7">
      <c r="A568" s="39"/>
      <c r="B568" s="39"/>
      <c r="C568" s="39"/>
      <c r="D568" s="39"/>
      <c r="E568" s="39"/>
      <c r="F568" s="39"/>
      <c r="G568" s="39"/>
    </row>
    <row r="569" spans="1:7">
      <c r="A569" s="40"/>
      <c r="B569" s="40"/>
      <c r="C569" s="40"/>
      <c r="D569" s="40"/>
      <c r="E569" s="40"/>
      <c r="F569" s="40"/>
      <c r="G569" s="40"/>
    </row>
    <row r="570" spans="1:7">
      <c r="A570" s="39"/>
      <c r="B570" s="39"/>
      <c r="C570" s="39"/>
      <c r="D570" s="39"/>
      <c r="E570" s="39"/>
      <c r="F570" s="39"/>
      <c r="G570" s="39"/>
    </row>
    <row r="571" spans="1:7">
      <c r="A571" s="40"/>
      <c r="B571" s="40"/>
      <c r="C571" s="40"/>
      <c r="D571" s="40"/>
      <c r="E571" s="40"/>
      <c r="F571" s="40"/>
      <c r="G571" s="40"/>
    </row>
    <row r="572" spans="1:7">
      <c r="A572" s="39"/>
      <c r="B572" s="39"/>
      <c r="C572" s="39"/>
      <c r="D572" s="39"/>
      <c r="E572" s="39"/>
      <c r="F572" s="39"/>
      <c r="G572" s="39"/>
    </row>
    <row r="573" spans="1:7">
      <c r="A573" s="40"/>
      <c r="B573" s="40"/>
      <c r="C573" s="40"/>
      <c r="D573" s="40"/>
      <c r="E573" s="40"/>
      <c r="F573" s="40"/>
      <c r="G573" s="40"/>
    </row>
    <row r="574" spans="1:7">
      <c r="A574" s="39"/>
      <c r="B574" s="39"/>
      <c r="C574" s="39"/>
      <c r="D574" s="39"/>
      <c r="E574" s="39"/>
      <c r="F574" s="39"/>
      <c r="G574" s="39"/>
    </row>
    <row r="575" spans="1:7">
      <c r="A575" s="40"/>
      <c r="B575" s="40"/>
      <c r="C575" s="40"/>
      <c r="D575" s="40"/>
      <c r="E575" s="40"/>
      <c r="F575" s="40"/>
      <c r="G575" s="40"/>
    </row>
    <row r="576" spans="1:7">
      <c r="A576" s="39"/>
      <c r="B576" s="39"/>
      <c r="C576" s="39"/>
      <c r="D576" s="39"/>
      <c r="E576" s="39"/>
      <c r="F576" s="39"/>
      <c r="G576" s="39"/>
    </row>
    <row r="577" spans="1:7">
      <c r="A577" s="40"/>
      <c r="B577" s="40"/>
      <c r="C577" s="40"/>
      <c r="D577" s="40"/>
      <c r="E577" s="40"/>
      <c r="F577" s="40"/>
      <c r="G577" s="40"/>
    </row>
    <row r="578" spans="1:7">
      <c r="A578" s="39"/>
      <c r="B578" s="39"/>
      <c r="C578" s="39"/>
      <c r="D578" s="39"/>
      <c r="E578" s="39"/>
      <c r="F578" s="39"/>
      <c r="G578" s="39"/>
    </row>
    <row r="579" spans="1:7">
      <c r="A579" s="40"/>
      <c r="B579" s="40"/>
      <c r="C579" s="40"/>
      <c r="D579" s="40"/>
      <c r="E579" s="40"/>
      <c r="F579" s="40"/>
      <c r="G579" s="40"/>
    </row>
    <row r="580" spans="1:7">
      <c r="A580" s="39"/>
      <c r="B580" s="39"/>
      <c r="C580" s="39"/>
      <c r="D580" s="39"/>
      <c r="E580" s="39"/>
      <c r="F580" s="39"/>
      <c r="G580" s="39"/>
    </row>
    <row r="581" spans="1:7">
      <c r="A581" s="40"/>
      <c r="B581" s="40"/>
      <c r="C581" s="40"/>
      <c r="D581" s="40"/>
      <c r="E581" s="40"/>
      <c r="F581" s="40"/>
      <c r="G581" s="40"/>
    </row>
    <row r="582" spans="1:7">
      <c r="A582" s="39"/>
      <c r="B582" s="39"/>
      <c r="C582" s="39"/>
      <c r="D582" s="39"/>
      <c r="E582" s="39"/>
      <c r="F582" s="39"/>
      <c r="G582" s="39"/>
    </row>
    <row r="583" spans="1:7">
      <c r="A583" s="40"/>
      <c r="B583" s="40"/>
      <c r="C583" s="40"/>
      <c r="D583" s="40"/>
      <c r="E583" s="40"/>
      <c r="F583" s="40"/>
      <c r="G583" s="40"/>
    </row>
    <row r="584" spans="1:7">
      <c r="A584" s="39"/>
      <c r="B584" s="39"/>
      <c r="C584" s="39"/>
      <c r="D584" s="39"/>
      <c r="E584" s="39"/>
      <c r="F584" s="39"/>
      <c r="G584" s="39"/>
    </row>
    <row r="585" spans="1:7">
      <c r="A585" s="40"/>
      <c r="B585" s="40"/>
      <c r="C585" s="40"/>
      <c r="D585" s="40"/>
      <c r="E585" s="40"/>
      <c r="F585" s="40"/>
      <c r="G585" s="40"/>
    </row>
    <row r="586" spans="1:7">
      <c r="A586" s="39"/>
      <c r="B586" s="39"/>
      <c r="C586" s="39"/>
      <c r="D586" s="39"/>
      <c r="E586" s="39"/>
      <c r="F586" s="39"/>
      <c r="G586" s="39"/>
    </row>
    <row r="587" spans="1:7">
      <c r="A587" s="40"/>
      <c r="B587" s="40"/>
      <c r="C587" s="40"/>
      <c r="D587" s="40"/>
      <c r="E587" s="40"/>
      <c r="F587" s="40"/>
      <c r="G587" s="40"/>
    </row>
    <row r="588" spans="1:7">
      <c r="A588" s="39"/>
      <c r="B588" s="39"/>
      <c r="C588" s="39"/>
      <c r="D588" s="39"/>
      <c r="E588" s="39"/>
      <c r="F588" s="39"/>
      <c r="G588" s="39"/>
    </row>
    <row r="589" spans="1:7">
      <c r="A589" s="40"/>
      <c r="B589" s="40"/>
      <c r="C589" s="40"/>
      <c r="D589" s="40"/>
      <c r="E589" s="40"/>
      <c r="F589" s="40"/>
      <c r="G589" s="40"/>
    </row>
    <row r="590" spans="1:7">
      <c r="A590" s="39"/>
      <c r="B590" s="39"/>
      <c r="C590" s="39"/>
      <c r="D590" s="39"/>
      <c r="E590" s="39"/>
      <c r="F590" s="39"/>
      <c r="G590" s="39"/>
    </row>
    <row r="591" spans="1:7">
      <c r="A591" s="40"/>
      <c r="B591" s="40"/>
      <c r="C591" s="40"/>
      <c r="D591" s="40"/>
      <c r="E591" s="40"/>
      <c r="F591" s="40"/>
      <c r="G591" s="40"/>
    </row>
    <row r="592" spans="1:7">
      <c r="A592" s="39"/>
      <c r="B592" s="39"/>
      <c r="C592" s="39"/>
      <c r="D592" s="39"/>
      <c r="E592" s="39"/>
      <c r="F592" s="39"/>
      <c r="G592" s="39"/>
    </row>
    <row r="593" spans="1:7">
      <c r="A593" s="40"/>
      <c r="B593" s="40"/>
      <c r="C593" s="40"/>
      <c r="D593" s="40"/>
      <c r="E593" s="40"/>
      <c r="F593" s="40"/>
      <c r="G593" s="40"/>
    </row>
    <row r="594" spans="1:7">
      <c r="A594" s="39"/>
      <c r="B594" s="39"/>
      <c r="C594" s="39"/>
      <c r="D594" s="39"/>
      <c r="E594" s="39"/>
      <c r="F594" s="39"/>
      <c r="G594" s="39"/>
    </row>
    <row r="595" spans="1:7">
      <c r="A595" s="40"/>
      <c r="B595" s="40"/>
      <c r="C595" s="40"/>
      <c r="D595" s="40"/>
      <c r="E595" s="40"/>
      <c r="F595" s="40"/>
      <c r="G595" s="40"/>
    </row>
    <row r="596" spans="1:7">
      <c r="A596" s="39"/>
      <c r="B596" s="39"/>
      <c r="C596" s="39"/>
      <c r="D596" s="39"/>
      <c r="E596" s="39"/>
      <c r="F596" s="39"/>
      <c r="G596" s="39"/>
    </row>
    <row r="597" spans="1:7">
      <c r="A597" s="40"/>
      <c r="B597" s="40"/>
      <c r="C597" s="40"/>
      <c r="D597" s="40"/>
      <c r="E597" s="40"/>
      <c r="F597" s="40"/>
      <c r="G597" s="40"/>
    </row>
    <row r="598" spans="1:7">
      <c r="A598" s="39"/>
      <c r="B598" s="39"/>
      <c r="C598" s="39"/>
      <c r="D598" s="39"/>
      <c r="E598" s="39"/>
      <c r="F598" s="39"/>
      <c r="G598" s="39"/>
    </row>
    <row r="599" spans="1:7">
      <c r="A599" s="40"/>
      <c r="B599" s="40"/>
      <c r="C599" s="40"/>
      <c r="D599" s="40"/>
      <c r="E599" s="40"/>
      <c r="F599" s="40"/>
      <c r="G599" s="40"/>
    </row>
    <row r="600" spans="1:7">
      <c r="A600" s="39"/>
      <c r="B600" s="39"/>
      <c r="C600" s="39"/>
      <c r="D600" s="39"/>
      <c r="E600" s="39"/>
      <c r="F600" s="39"/>
      <c r="G600" s="39"/>
    </row>
    <row r="601" spans="1:7">
      <c r="A601" s="40"/>
      <c r="B601" s="40"/>
      <c r="C601" s="40"/>
      <c r="D601" s="40"/>
      <c r="E601" s="40"/>
      <c r="F601" s="40"/>
      <c r="G601" s="40"/>
    </row>
    <row r="602" spans="1:7">
      <c r="A602" s="39"/>
      <c r="B602" s="39"/>
      <c r="C602" s="39"/>
      <c r="D602" s="39"/>
      <c r="E602" s="39"/>
      <c r="F602" s="39"/>
      <c r="G602" s="39"/>
    </row>
    <row r="603" spans="1:7">
      <c r="A603" s="40"/>
      <c r="B603" s="40"/>
      <c r="C603" s="40"/>
      <c r="D603" s="40"/>
      <c r="E603" s="40"/>
      <c r="F603" s="40"/>
      <c r="G603" s="40"/>
    </row>
    <row r="604" spans="1:7">
      <c r="A604" s="39"/>
      <c r="B604" s="39"/>
      <c r="C604" s="39"/>
      <c r="D604" s="39"/>
      <c r="E604" s="39"/>
      <c r="F604" s="39"/>
      <c r="G604" s="39"/>
    </row>
    <row r="605" spans="1:7">
      <c r="A605" s="40"/>
      <c r="B605" s="40"/>
      <c r="C605" s="40"/>
      <c r="D605" s="40"/>
      <c r="E605" s="40"/>
      <c r="F605" s="40"/>
      <c r="G605" s="40"/>
    </row>
    <row r="606" spans="1:7">
      <c r="A606" s="39"/>
      <c r="B606" s="39"/>
      <c r="C606" s="39"/>
      <c r="D606" s="39"/>
      <c r="E606" s="39"/>
      <c r="F606" s="39"/>
      <c r="G606" s="39"/>
    </row>
    <row r="607" spans="1:7">
      <c r="A607" s="40"/>
      <c r="B607" s="40"/>
      <c r="C607" s="40"/>
      <c r="D607" s="40"/>
      <c r="E607" s="40"/>
      <c r="F607" s="40"/>
      <c r="G607" s="40"/>
    </row>
    <row r="608" spans="1:7">
      <c r="A608" s="39"/>
      <c r="B608" s="39"/>
      <c r="C608" s="39"/>
      <c r="D608" s="39"/>
      <c r="E608" s="39"/>
      <c r="F608" s="39"/>
      <c r="G608" s="39"/>
    </row>
    <row r="609" spans="1:7">
      <c r="A609" s="40"/>
      <c r="B609" s="40"/>
      <c r="C609" s="40"/>
      <c r="D609" s="40"/>
      <c r="E609" s="40"/>
      <c r="F609" s="40"/>
      <c r="G609" s="40"/>
    </row>
    <row r="610" spans="1:7">
      <c r="A610" s="39"/>
      <c r="B610" s="39"/>
      <c r="C610" s="39"/>
      <c r="D610" s="39"/>
      <c r="E610" s="39"/>
      <c r="F610" s="39"/>
      <c r="G610" s="39"/>
    </row>
    <row r="611" spans="1:7">
      <c r="A611" s="40"/>
      <c r="B611" s="40"/>
      <c r="C611" s="40"/>
      <c r="D611" s="40"/>
      <c r="E611" s="40"/>
      <c r="F611" s="40"/>
      <c r="G611" s="40"/>
    </row>
    <row r="612" spans="1:7">
      <c r="A612" s="39"/>
      <c r="B612" s="39"/>
      <c r="C612" s="39"/>
      <c r="D612" s="39"/>
      <c r="E612" s="39"/>
      <c r="F612" s="39"/>
      <c r="G612" s="39"/>
    </row>
    <row r="613" spans="1:7">
      <c r="A613" s="40"/>
      <c r="B613" s="40"/>
      <c r="C613" s="40"/>
      <c r="D613" s="40"/>
      <c r="E613" s="40"/>
      <c r="F613" s="40"/>
      <c r="G613" s="40"/>
    </row>
    <row r="614" spans="1:7">
      <c r="A614" s="39"/>
      <c r="B614" s="39"/>
      <c r="C614" s="39"/>
      <c r="D614" s="39"/>
      <c r="E614" s="39"/>
      <c r="F614" s="39"/>
      <c r="G614" s="39"/>
    </row>
    <row r="615" spans="1:7">
      <c r="A615" s="40"/>
      <c r="B615" s="40"/>
      <c r="C615" s="40"/>
      <c r="D615" s="40"/>
      <c r="E615" s="40"/>
      <c r="F615" s="40"/>
      <c r="G615" s="40"/>
    </row>
    <row r="616" spans="1:7">
      <c r="A616" s="39"/>
      <c r="B616" s="39"/>
      <c r="C616" s="39"/>
      <c r="D616" s="39"/>
      <c r="E616" s="39"/>
      <c r="F616" s="39"/>
      <c r="G616" s="39"/>
    </row>
    <row r="617" spans="1:7">
      <c r="A617" s="40"/>
      <c r="B617" s="40"/>
      <c r="C617" s="40"/>
      <c r="D617" s="40"/>
      <c r="E617" s="40"/>
      <c r="F617" s="40"/>
      <c r="G617" s="40"/>
    </row>
    <row r="618" spans="1:7">
      <c r="A618" s="39"/>
      <c r="B618" s="39"/>
      <c r="C618" s="39"/>
      <c r="D618" s="39"/>
      <c r="E618" s="39"/>
      <c r="F618" s="39"/>
      <c r="G618" s="39"/>
    </row>
    <row r="619" spans="1:7">
      <c r="A619" s="40"/>
      <c r="B619" s="40"/>
      <c r="C619" s="40"/>
      <c r="D619" s="40"/>
      <c r="E619" s="40"/>
      <c r="F619" s="40"/>
      <c r="G619" s="40"/>
    </row>
    <row r="620" spans="1:7">
      <c r="A620" s="39"/>
      <c r="B620" s="39"/>
      <c r="C620" s="39"/>
      <c r="D620" s="39"/>
      <c r="E620" s="39"/>
      <c r="F620" s="39"/>
      <c r="G620" s="39"/>
    </row>
    <row r="621" spans="1:7">
      <c r="A621" s="40"/>
      <c r="B621" s="40"/>
      <c r="C621" s="40"/>
      <c r="D621" s="40"/>
      <c r="E621" s="40"/>
      <c r="F621" s="40"/>
      <c r="G621" s="40"/>
    </row>
    <row r="622" spans="1:7">
      <c r="A622" s="39"/>
      <c r="B622" s="39"/>
      <c r="C622" s="39"/>
      <c r="D622" s="39"/>
      <c r="E622" s="39"/>
      <c r="F622" s="39"/>
      <c r="G622" s="39"/>
    </row>
    <row r="623" spans="1:7">
      <c r="A623" s="40"/>
      <c r="B623" s="40"/>
      <c r="C623" s="40"/>
      <c r="D623" s="40"/>
      <c r="E623" s="40"/>
      <c r="F623" s="40"/>
      <c r="G623" s="40"/>
    </row>
    <row r="624" spans="1:7">
      <c r="A624" s="39"/>
      <c r="B624" s="39"/>
      <c r="C624" s="39"/>
      <c r="D624" s="39"/>
      <c r="E624" s="39"/>
      <c r="F624" s="39"/>
      <c r="G624" s="39"/>
    </row>
    <row r="625" spans="1:7">
      <c r="A625" s="40"/>
      <c r="B625" s="40"/>
      <c r="C625" s="40"/>
      <c r="D625" s="40"/>
      <c r="E625" s="40"/>
      <c r="F625" s="40"/>
      <c r="G625" s="40"/>
    </row>
    <row r="626" spans="1:7">
      <c r="A626" s="39"/>
      <c r="B626" s="39"/>
      <c r="C626" s="39"/>
      <c r="D626" s="39"/>
      <c r="E626" s="39"/>
      <c r="F626" s="39"/>
      <c r="G626" s="39"/>
    </row>
    <row r="627" spans="1:7">
      <c r="A627" s="40"/>
      <c r="B627" s="40"/>
      <c r="C627" s="40"/>
      <c r="D627" s="40"/>
      <c r="E627" s="40"/>
      <c r="F627" s="40"/>
      <c r="G627" s="40"/>
    </row>
    <row r="628" spans="1:7">
      <c r="A628" s="39"/>
      <c r="B628" s="39"/>
      <c r="C628" s="39"/>
      <c r="D628" s="39"/>
      <c r="E628" s="39"/>
      <c r="F628" s="39"/>
      <c r="G628" s="39"/>
    </row>
    <row r="629" spans="1:7">
      <c r="A629" s="40"/>
      <c r="B629" s="40"/>
      <c r="C629" s="40"/>
      <c r="D629" s="40"/>
      <c r="E629" s="40"/>
      <c r="F629" s="40"/>
      <c r="G629" s="40"/>
    </row>
    <row r="630" spans="1:7">
      <c r="A630" s="39"/>
      <c r="B630" s="39"/>
      <c r="C630" s="39"/>
      <c r="D630" s="39"/>
      <c r="E630" s="39"/>
      <c r="F630" s="39"/>
      <c r="G630" s="39"/>
    </row>
    <row r="631" spans="1:7">
      <c r="A631" s="40"/>
      <c r="B631" s="40"/>
      <c r="C631" s="40"/>
      <c r="D631" s="40"/>
      <c r="E631" s="40"/>
      <c r="F631" s="40"/>
      <c r="G631" s="40"/>
    </row>
    <row r="632" spans="1:7">
      <c r="A632" s="39"/>
      <c r="B632" s="39"/>
      <c r="C632" s="39"/>
      <c r="D632" s="39"/>
      <c r="E632" s="39"/>
      <c r="F632" s="39"/>
      <c r="G632" s="39"/>
    </row>
    <row r="633" spans="1:7">
      <c r="A633" s="40"/>
      <c r="B633" s="40"/>
      <c r="C633" s="40"/>
      <c r="D633" s="40"/>
      <c r="E633" s="40"/>
      <c r="F633" s="40"/>
      <c r="G633" s="40"/>
    </row>
    <row r="634" spans="1:7">
      <c r="A634" s="39"/>
      <c r="B634" s="39"/>
      <c r="C634" s="39"/>
      <c r="D634" s="39"/>
      <c r="E634" s="39"/>
      <c r="F634" s="39"/>
      <c r="G634" s="39"/>
    </row>
    <row r="635" spans="1:7">
      <c r="A635" s="40"/>
      <c r="B635" s="40"/>
      <c r="C635" s="40"/>
      <c r="D635" s="40"/>
      <c r="E635" s="40"/>
      <c r="F635" s="40"/>
      <c r="G635" s="40"/>
    </row>
    <row r="636" spans="1:7">
      <c r="A636" s="39"/>
      <c r="B636" s="39"/>
      <c r="C636" s="39"/>
      <c r="D636" s="39"/>
      <c r="E636" s="39"/>
      <c r="F636" s="39"/>
      <c r="G636" s="39"/>
    </row>
    <row r="637" spans="1:7">
      <c r="A637" s="40"/>
      <c r="B637" s="40"/>
      <c r="C637" s="40"/>
      <c r="D637" s="40"/>
      <c r="E637" s="40"/>
      <c r="F637" s="40"/>
      <c r="G637" s="40"/>
    </row>
    <row r="638" spans="1:7">
      <c r="A638" s="39"/>
      <c r="B638" s="39"/>
      <c r="C638" s="39"/>
      <c r="D638" s="39"/>
      <c r="E638" s="39"/>
      <c r="F638" s="39"/>
      <c r="G638" s="39"/>
    </row>
    <row r="639" spans="1:7">
      <c r="A639" s="40"/>
      <c r="B639" s="40"/>
      <c r="C639" s="40"/>
      <c r="D639" s="40"/>
      <c r="E639" s="40"/>
      <c r="F639" s="40"/>
      <c r="G639" s="40"/>
    </row>
    <row r="640" spans="1:7">
      <c r="A640" s="39"/>
      <c r="B640" s="39"/>
      <c r="C640" s="39"/>
      <c r="D640" s="39"/>
      <c r="E640" s="39"/>
      <c r="F640" s="39"/>
      <c r="G640" s="39"/>
    </row>
    <row r="641" spans="1:7">
      <c r="A641" s="40"/>
      <c r="B641" s="40"/>
      <c r="C641" s="40"/>
      <c r="D641" s="40"/>
      <c r="E641" s="40"/>
      <c r="F641" s="40"/>
      <c r="G641" s="40"/>
    </row>
    <row r="642" spans="1:7">
      <c r="A642" s="39"/>
      <c r="B642" s="39"/>
      <c r="C642" s="39"/>
      <c r="D642" s="39"/>
      <c r="E642" s="39"/>
      <c r="F642" s="39"/>
      <c r="G642" s="39"/>
    </row>
    <row r="643" spans="1:7">
      <c r="A643" s="40"/>
      <c r="B643" s="40"/>
      <c r="C643" s="40"/>
      <c r="D643" s="40"/>
      <c r="E643" s="40"/>
      <c r="F643" s="40"/>
      <c r="G643" s="40"/>
    </row>
    <row r="644" spans="1:7">
      <c r="A644" s="39"/>
      <c r="B644" s="39"/>
      <c r="C644" s="39"/>
      <c r="D644" s="39"/>
      <c r="E644" s="39"/>
      <c r="F644" s="39"/>
      <c r="G644" s="39"/>
    </row>
    <row r="645" spans="1:7">
      <c r="A645" s="40"/>
      <c r="B645" s="40"/>
      <c r="C645" s="40"/>
      <c r="D645" s="40"/>
      <c r="E645" s="40"/>
      <c r="F645" s="40"/>
      <c r="G645" s="40"/>
    </row>
    <row r="646" spans="1:7">
      <c r="A646" s="39"/>
      <c r="B646" s="39"/>
      <c r="C646" s="39"/>
      <c r="D646" s="39"/>
      <c r="E646" s="39"/>
      <c r="F646" s="39"/>
      <c r="G646" s="39"/>
    </row>
    <row r="647" spans="1:7">
      <c r="A647" s="40"/>
      <c r="B647" s="40"/>
      <c r="C647" s="40"/>
      <c r="D647" s="40"/>
      <c r="E647" s="40"/>
      <c r="F647" s="40"/>
      <c r="G647" s="40"/>
    </row>
    <row r="648" spans="1:7">
      <c r="A648" s="39"/>
      <c r="B648" s="39"/>
      <c r="C648" s="39"/>
      <c r="D648" s="39"/>
      <c r="E648" s="39"/>
      <c r="F648" s="39"/>
      <c r="G648" s="39"/>
    </row>
    <row r="649" spans="1:7">
      <c r="A649" s="40"/>
      <c r="B649" s="40"/>
      <c r="C649" s="40"/>
      <c r="D649" s="40"/>
      <c r="E649" s="40"/>
      <c r="F649" s="40"/>
      <c r="G649" s="40"/>
    </row>
    <row r="650" spans="1:7">
      <c r="A650" s="39"/>
      <c r="B650" s="39"/>
      <c r="C650" s="39"/>
      <c r="D650" s="39"/>
      <c r="E650" s="39"/>
      <c r="F650" s="39"/>
      <c r="G650" s="39"/>
    </row>
    <row r="651" spans="1:7">
      <c r="A651" s="40"/>
      <c r="B651" s="40"/>
      <c r="C651" s="40"/>
      <c r="D651" s="40"/>
      <c r="E651" s="40"/>
      <c r="F651" s="40"/>
      <c r="G651" s="40"/>
    </row>
    <row r="652" spans="1:7">
      <c r="A652" s="39"/>
      <c r="B652" s="39"/>
      <c r="C652" s="39"/>
      <c r="D652" s="39"/>
      <c r="E652" s="39"/>
      <c r="F652" s="39"/>
      <c r="G652" s="39"/>
    </row>
    <row r="653" spans="1:7">
      <c r="A653" s="40"/>
      <c r="B653" s="40"/>
      <c r="C653" s="40"/>
      <c r="D653" s="40"/>
      <c r="E653" s="40"/>
      <c r="F653" s="40"/>
      <c r="G653" s="40"/>
    </row>
    <row r="654" spans="1:7">
      <c r="A654" s="39"/>
      <c r="B654" s="39"/>
      <c r="C654" s="39"/>
      <c r="D654" s="39"/>
      <c r="E654" s="39"/>
      <c r="F654" s="39"/>
      <c r="G654" s="39"/>
    </row>
    <row r="655" spans="1:7">
      <c r="A655" s="40"/>
      <c r="B655" s="40"/>
      <c r="C655" s="40"/>
      <c r="D655" s="40"/>
      <c r="E655" s="40"/>
      <c r="F655" s="40"/>
      <c r="G655" s="40"/>
    </row>
    <row r="656" spans="1:7">
      <c r="A656" s="39"/>
      <c r="B656" s="39"/>
      <c r="C656" s="39"/>
      <c r="D656" s="39"/>
      <c r="E656" s="39"/>
      <c r="F656" s="39"/>
      <c r="G656" s="39"/>
    </row>
    <row r="657" spans="1:7">
      <c r="A657" s="40"/>
      <c r="B657" s="40"/>
      <c r="C657" s="40"/>
      <c r="D657" s="40"/>
      <c r="E657" s="40"/>
      <c r="F657" s="40"/>
      <c r="G657" s="40"/>
    </row>
    <row r="658" spans="1:7">
      <c r="A658" s="39"/>
      <c r="B658" s="39"/>
      <c r="C658" s="39"/>
      <c r="D658" s="39"/>
      <c r="E658" s="39"/>
      <c r="F658" s="39"/>
      <c r="G658" s="39"/>
    </row>
    <row r="659" spans="1:7">
      <c r="A659" s="40"/>
      <c r="B659" s="40"/>
      <c r="C659" s="40"/>
      <c r="D659" s="40"/>
      <c r="E659" s="40"/>
      <c r="F659" s="40"/>
      <c r="G659" s="40"/>
    </row>
    <row r="660" spans="1:7">
      <c r="A660" s="39"/>
      <c r="B660" s="39"/>
      <c r="C660" s="39"/>
      <c r="D660" s="39"/>
      <c r="E660" s="39"/>
      <c r="F660" s="39"/>
      <c r="G660" s="39"/>
    </row>
    <row r="661" spans="1:7">
      <c r="A661" s="40"/>
      <c r="B661" s="40"/>
      <c r="C661" s="40"/>
      <c r="D661" s="40"/>
      <c r="E661" s="40"/>
      <c r="F661" s="40"/>
      <c r="G661" s="40"/>
    </row>
    <row r="662" spans="1:7">
      <c r="A662" s="39"/>
      <c r="B662" s="39"/>
      <c r="C662" s="39"/>
      <c r="D662" s="39"/>
      <c r="E662" s="39"/>
      <c r="F662" s="39"/>
      <c r="G662" s="39"/>
    </row>
    <row r="663" spans="1:7">
      <c r="A663" s="40"/>
      <c r="B663" s="40"/>
      <c r="C663" s="40"/>
      <c r="D663" s="40"/>
      <c r="E663" s="40"/>
      <c r="F663" s="40"/>
      <c r="G663" s="40"/>
    </row>
    <row r="664" spans="1:7">
      <c r="A664" s="39"/>
      <c r="B664" s="39"/>
      <c r="C664" s="39"/>
      <c r="D664" s="39"/>
      <c r="E664" s="39"/>
      <c r="F664" s="39"/>
      <c r="G664" s="39"/>
    </row>
    <row r="665" spans="1:7">
      <c r="A665" s="40"/>
      <c r="B665" s="40"/>
      <c r="C665" s="40"/>
      <c r="D665" s="40"/>
      <c r="E665" s="40"/>
      <c r="F665" s="40"/>
      <c r="G665" s="40"/>
    </row>
    <row r="666" spans="1:7">
      <c r="A666" s="39"/>
      <c r="B666" s="39"/>
      <c r="C666" s="39"/>
      <c r="D666" s="39"/>
      <c r="E666" s="39"/>
      <c r="F666" s="39"/>
      <c r="G666" s="39"/>
    </row>
    <row r="667" spans="1:7">
      <c r="A667" s="40"/>
      <c r="B667" s="40"/>
      <c r="C667" s="40"/>
      <c r="D667" s="40"/>
      <c r="E667" s="40"/>
      <c r="F667" s="40"/>
      <c r="G667" s="40"/>
    </row>
    <row r="668" spans="1:7">
      <c r="A668" s="39"/>
      <c r="B668" s="39"/>
      <c r="C668" s="39"/>
      <c r="D668" s="39"/>
      <c r="E668" s="39"/>
      <c r="F668" s="39"/>
      <c r="G668" s="39"/>
    </row>
    <row r="669" spans="1:7">
      <c r="A669" s="40"/>
      <c r="B669" s="40"/>
      <c r="C669" s="40"/>
      <c r="D669" s="40"/>
      <c r="E669" s="40"/>
      <c r="F669" s="40"/>
      <c r="G669" s="40"/>
    </row>
    <row r="670" spans="1:7">
      <c r="A670" s="39"/>
      <c r="B670" s="39"/>
      <c r="C670" s="39"/>
      <c r="D670" s="39"/>
      <c r="E670" s="39"/>
      <c r="F670" s="39"/>
      <c r="G670" s="39"/>
    </row>
    <row r="671" spans="1:7">
      <c r="A671" s="40"/>
      <c r="B671" s="40"/>
      <c r="C671" s="40"/>
      <c r="D671" s="40"/>
      <c r="E671" s="40"/>
      <c r="F671" s="40"/>
      <c r="G671" s="40"/>
    </row>
    <row r="672" spans="1:7">
      <c r="A672" s="39"/>
      <c r="B672" s="39"/>
      <c r="C672" s="39"/>
      <c r="D672" s="39"/>
      <c r="E672" s="39"/>
      <c r="F672" s="39"/>
      <c r="G672" s="39"/>
    </row>
    <row r="673" spans="1:7">
      <c r="A673" s="40"/>
      <c r="B673" s="40"/>
      <c r="C673" s="40"/>
      <c r="D673" s="40"/>
      <c r="E673" s="40"/>
      <c r="F673" s="40"/>
      <c r="G673" s="40"/>
    </row>
    <row r="674" spans="1:7">
      <c r="A674" s="39"/>
      <c r="B674" s="39"/>
      <c r="C674" s="39"/>
      <c r="D674" s="39"/>
      <c r="E674" s="39"/>
      <c r="F674" s="39"/>
      <c r="G674" s="39"/>
    </row>
    <row r="675" spans="1:7">
      <c r="A675" s="40"/>
      <c r="B675" s="40"/>
      <c r="C675" s="40"/>
      <c r="D675" s="40"/>
      <c r="E675" s="40"/>
      <c r="F675" s="40"/>
      <c r="G675" s="40"/>
    </row>
    <row r="676" spans="1:7">
      <c r="A676" s="39"/>
      <c r="B676" s="39"/>
      <c r="C676" s="39"/>
      <c r="D676" s="39"/>
      <c r="E676" s="39"/>
      <c r="F676" s="39"/>
      <c r="G676" s="39"/>
    </row>
    <row r="677" spans="1:7">
      <c r="A677" s="40"/>
      <c r="B677" s="40"/>
      <c r="C677" s="40"/>
      <c r="D677" s="40"/>
      <c r="E677" s="40"/>
      <c r="F677" s="40"/>
      <c r="G677" s="40"/>
    </row>
    <row r="678" spans="1:7">
      <c r="A678" s="39"/>
      <c r="B678" s="39"/>
      <c r="C678" s="39"/>
      <c r="D678" s="39"/>
      <c r="E678" s="39"/>
      <c r="F678" s="39"/>
      <c r="G678" s="39"/>
    </row>
    <row r="679" spans="1:7">
      <c r="A679" s="40"/>
      <c r="B679" s="40"/>
      <c r="C679" s="40"/>
      <c r="D679" s="40"/>
      <c r="E679" s="40"/>
      <c r="F679" s="40"/>
      <c r="G679" s="40"/>
    </row>
    <row r="680" spans="1:7">
      <c r="A680" s="39"/>
      <c r="B680" s="39"/>
      <c r="C680" s="39"/>
      <c r="D680" s="39"/>
      <c r="E680" s="39"/>
      <c r="F680" s="39"/>
      <c r="G680" s="39"/>
    </row>
    <row r="681" spans="1:7">
      <c r="A681" s="40"/>
      <c r="B681" s="40"/>
      <c r="C681" s="40"/>
      <c r="D681" s="40"/>
      <c r="E681" s="40"/>
      <c r="F681" s="40"/>
      <c r="G681" s="40"/>
    </row>
    <row r="682" spans="1:7">
      <c r="A682" s="39"/>
      <c r="B682" s="39"/>
      <c r="C682" s="39"/>
      <c r="D682" s="39"/>
      <c r="E682" s="39"/>
      <c r="F682" s="39"/>
      <c r="G682" s="39"/>
    </row>
    <row r="683" spans="1:7">
      <c r="A683" s="40"/>
      <c r="B683" s="40"/>
      <c r="C683" s="40"/>
      <c r="D683" s="40"/>
      <c r="E683" s="40"/>
      <c r="F683" s="40"/>
      <c r="G683" s="40"/>
    </row>
    <row r="684" spans="1:7">
      <c r="A684" s="39"/>
      <c r="B684" s="39"/>
      <c r="C684" s="39"/>
      <c r="D684" s="39"/>
      <c r="E684" s="39"/>
      <c r="F684" s="39"/>
      <c r="G684" s="39"/>
    </row>
    <row r="685" spans="1:7">
      <c r="A685" s="40"/>
      <c r="B685" s="40"/>
      <c r="C685" s="40"/>
      <c r="D685" s="40"/>
      <c r="E685" s="40"/>
      <c r="F685" s="40"/>
      <c r="G685" s="40"/>
    </row>
    <row r="686" spans="1:7">
      <c r="A686" s="39"/>
      <c r="B686" s="39"/>
      <c r="C686" s="39"/>
      <c r="D686" s="39"/>
      <c r="E686" s="39"/>
      <c r="F686" s="39"/>
      <c r="G686" s="39"/>
    </row>
    <row r="687" spans="1:7">
      <c r="A687" s="40"/>
      <c r="B687" s="40"/>
      <c r="C687" s="40"/>
      <c r="D687" s="40"/>
      <c r="E687" s="40"/>
      <c r="F687" s="40"/>
      <c r="G687" s="40"/>
    </row>
    <row r="688" spans="1:7">
      <c r="A688" s="39"/>
      <c r="B688" s="39"/>
      <c r="C688" s="39"/>
      <c r="D688" s="39"/>
      <c r="E688" s="39"/>
      <c r="F688" s="39"/>
      <c r="G688" s="39"/>
    </row>
    <row r="689" spans="1:7">
      <c r="A689" s="40"/>
      <c r="B689" s="40"/>
      <c r="C689" s="40"/>
      <c r="D689" s="40"/>
      <c r="E689" s="40"/>
      <c r="F689" s="40"/>
      <c r="G689" s="40"/>
    </row>
    <row r="690" spans="1:7">
      <c r="A690" s="39"/>
      <c r="B690" s="39"/>
      <c r="C690" s="39"/>
      <c r="D690" s="39"/>
      <c r="E690" s="39"/>
      <c r="F690" s="39"/>
      <c r="G690" s="39"/>
    </row>
    <row r="691" spans="1:7">
      <c r="A691" s="40"/>
      <c r="B691" s="40"/>
      <c r="C691" s="40"/>
      <c r="D691" s="40"/>
      <c r="E691" s="40"/>
      <c r="F691" s="40"/>
      <c r="G691" s="40"/>
    </row>
    <row r="692" spans="1:7">
      <c r="A692" s="39"/>
      <c r="B692" s="39"/>
      <c r="C692" s="39"/>
      <c r="D692" s="39"/>
      <c r="E692" s="39"/>
      <c r="F692" s="39"/>
      <c r="G692" s="39"/>
    </row>
    <row r="693" spans="1:7">
      <c r="A693" s="40"/>
      <c r="B693" s="40"/>
      <c r="C693" s="40"/>
      <c r="D693" s="40"/>
      <c r="E693" s="40"/>
      <c r="F693" s="40"/>
      <c r="G693" s="40"/>
    </row>
    <row r="694" spans="1:7">
      <c r="A694" s="39"/>
      <c r="B694" s="39"/>
      <c r="C694" s="39"/>
      <c r="D694" s="39"/>
      <c r="E694" s="39"/>
      <c r="F694" s="39"/>
      <c r="G694" s="39"/>
    </row>
    <row r="695" spans="1:7">
      <c r="A695" s="40"/>
      <c r="B695" s="40"/>
      <c r="C695" s="40"/>
      <c r="D695" s="40"/>
      <c r="E695" s="40"/>
      <c r="F695" s="40"/>
      <c r="G695" s="40"/>
    </row>
    <row r="696" spans="1:7">
      <c r="A696" s="39"/>
      <c r="B696" s="39"/>
      <c r="C696" s="39"/>
      <c r="D696" s="39"/>
      <c r="E696" s="39"/>
      <c r="F696" s="39"/>
      <c r="G696" s="39"/>
    </row>
    <row r="697" spans="1:7">
      <c r="A697" s="40"/>
      <c r="B697" s="40"/>
      <c r="C697" s="40"/>
      <c r="D697" s="40"/>
      <c r="E697" s="40"/>
      <c r="F697" s="40"/>
      <c r="G697" s="40"/>
    </row>
    <row r="698" spans="1:7">
      <c r="A698" s="39"/>
      <c r="B698" s="39"/>
      <c r="C698" s="39"/>
      <c r="D698" s="39"/>
      <c r="E698" s="39"/>
      <c r="F698" s="39"/>
      <c r="G698" s="39"/>
    </row>
    <row r="699" spans="1:7">
      <c r="A699" s="40"/>
      <c r="B699" s="40"/>
      <c r="C699" s="40"/>
      <c r="D699" s="40"/>
      <c r="E699" s="40"/>
      <c r="F699" s="40"/>
      <c r="G699" s="40"/>
    </row>
    <row r="700" spans="1:7">
      <c r="A700" s="39"/>
      <c r="B700" s="39"/>
      <c r="C700" s="39"/>
      <c r="D700" s="39"/>
      <c r="E700" s="39"/>
      <c r="F700" s="39"/>
      <c r="G700" s="39"/>
    </row>
    <row r="701" spans="1:7">
      <c r="A701" s="40"/>
      <c r="B701" s="40"/>
      <c r="C701" s="40"/>
      <c r="D701" s="40"/>
      <c r="E701" s="40"/>
      <c r="F701" s="40"/>
      <c r="G701" s="40"/>
    </row>
    <row r="702" spans="1:7">
      <c r="A702" s="39"/>
      <c r="B702" s="39"/>
      <c r="C702" s="39"/>
      <c r="D702" s="39"/>
      <c r="E702" s="39"/>
      <c r="F702" s="39"/>
      <c r="G702" s="39"/>
    </row>
    <row r="703" spans="1:7">
      <c r="A703" s="40"/>
      <c r="B703" s="40"/>
      <c r="C703" s="40"/>
      <c r="D703" s="40"/>
      <c r="E703" s="40"/>
      <c r="F703" s="40"/>
      <c r="G703" s="40"/>
    </row>
    <row r="704" spans="1:7">
      <c r="A704" s="39"/>
      <c r="B704" s="39"/>
      <c r="C704" s="39"/>
      <c r="D704" s="39"/>
      <c r="E704" s="39"/>
      <c r="F704" s="39"/>
      <c r="G704" s="39"/>
    </row>
    <row r="705" spans="1:7">
      <c r="A705" s="40"/>
      <c r="B705" s="40"/>
      <c r="C705" s="40"/>
      <c r="D705" s="40"/>
      <c r="E705" s="40"/>
      <c r="F705" s="40"/>
      <c r="G705" s="40"/>
    </row>
    <row r="706" spans="1:7">
      <c r="A706" s="39"/>
      <c r="B706" s="39"/>
      <c r="C706" s="39"/>
      <c r="D706" s="39"/>
      <c r="E706" s="39"/>
      <c r="F706" s="39"/>
      <c r="G706" s="39"/>
    </row>
    <row r="707" spans="1:7">
      <c r="A707" s="40"/>
      <c r="B707" s="40"/>
      <c r="C707" s="40"/>
      <c r="D707" s="40"/>
      <c r="E707" s="40"/>
      <c r="F707" s="40"/>
      <c r="G707" s="40"/>
    </row>
    <row r="708" spans="1:7">
      <c r="A708" s="39"/>
      <c r="B708" s="39"/>
      <c r="C708" s="39"/>
      <c r="D708" s="39"/>
      <c r="E708" s="39"/>
      <c r="F708" s="39"/>
      <c r="G708" s="39"/>
    </row>
    <row r="709" spans="1:7">
      <c r="A709" s="40"/>
      <c r="B709" s="40"/>
      <c r="C709" s="40"/>
      <c r="D709" s="40"/>
      <c r="E709" s="40"/>
      <c r="F709" s="40"/>
      <c r="G709" s="40"/>
    </row>
    <row r="710" spans="1:7">
      <c r="A710" s="39"/>
      <c r="B710" s="39"/>
      <c r="C710" s="39"/>
      <c r="D710" s="39"/>
      <c r="E710" s="39"/>
      <c r="F710" s="39"/>
      <c r="G710" s="39"/>
    </row>
    <row r="711" spans="1:7">
      <c r="A711" s="40"/>
      <c r="B711" s="40"/>
      <c r="C711" s="40"/>
      <c r="D711" s="40"/>
      <c r="E711" s="40"/>
      <c r="F711" s="40"/>
      <c r="G711" s="40"/>
    </row>
    <row r="712" spans="1:7">
      <c r="A712" s="39"/>
      <c r="B712" s="39"/>
      <c r="C712" s="39"/>
      <c r="D712" s="39"/>
      <c r="E712" s="39"/>
      <c r="F712" s="39"/>
      <c r="G712" s="39"/>
    </row>
    <row r="713" spans="1:7">
      <c r="A713" s="40"/>
      <c r="B713" s="40"/>
      <c r="C713" s="40"/>
      <c r="D713" s="40"/>
      <c r="E713" s="40"/>
      <c r="F713" s="40"/>
      <c r="G713" s="40"/>
    </row>
    <row r="714" spans="1:7">
      <c r="A714" s="39"/>
      <c r="B714" s="39"/>
      <c r="C714" s="39"/>
      <c r="D714" s="39"/>
      <c r="E714" s="39"/>
      <c r="F714" s="39"/>
      <c r="G714" s="39"/>
    </row>
    <row r="715" spans="1:7">
      <c r="A715" s="40"/>
      <c r="B715" s="40"/>
      <c r="C715" s="40"/>
      <c r="D715" s="40"/>
      <c r="E715" s="40"/>
      <c r="F715" s="40"/>
      <c r="G715" s="40"/>
    </row>
    <row r="716" spans="1:7">
      <c r="A716" s="39"/>
      <c r="B716" s="39"/>
      <c r="C716" s="39"/>
      <c r="D716" s="39"/>
      <c r="E716" s="39"/>
      <c r="F716" s="39"/>
      <c r="G716" s="39"/>
    </row>
    <row r="717" spans="1:7">
      <c r="A717" s="40"/>
      <c r="B717" s="40"/>
      <c r="C717" s="40"/>
      <c r="D717" s="40"/>
      <c r="E717" s="40"/>
      <c r="F717" s="40"/>
      <c r="G717" s="40"/>
    </row>
    <row r="718" spans="1:7">
      <c r="A718" s="39"/>
      <c r="B718" s="39"/>
      <c r="C718" s="39"/>
      <c r="D718" s="39"/>
      <c r="E718" s="39"/>
      <c r="F718" s="39"/>
      <c r="G718" s="39"/>
    </row>
    <row r="719" spans="1:7">
      <c r="A719" s="40"/>
      <c r="B719" s="40"/>
      <c r="C719" s="40"/>
      <c r="D719" s="40"/>
      <c r="E719" s="40"/>
      <c r="F719" s="40"/>
      <c r="G719" s="40"/>
    </row>
    <row r="720" spans="1:7">
      <c r="A720" s="39"/>
      <c r="B720" s="39"/>
      <c r="C720" s="39"/>
      <c r="D720" s="39"/>
      <c r="E720" s="39"/>
      <c r="F720" s="39"/>
      <c r="G720" s="39"/>
    </row>
    <row r="721" spans="1:7">
      <c r="A721" s="40"/>
      <c r="B721" s="40"/>
      <c r="C721" s="40"/>
      <c r="D721" s="40"/>
      <c r="E721" s="40"/>
      <c r="F721" s="40"/>
      <c r="G721" s="40"/>
    </row>
    <row r="722" spans="1:7">
      <c r="A722" s="39"/>
      <c r="B722" s="39"/>
      <c r="C722" s="39"/>
      <c r="D722" s="39"/>
      <c r="E722" s="39"/>
      <c r="F722" s="39"/>
      <c r="G722" s="39"/>
    </row>
    <row r="723" spans="1:7">
      <c r="A723" s="40"/>
      <c r="B723" s="40"/>
      <c r="C723" s="40"/>
      <c r="D723" s="40"/>
      <c r="E723" s="40"/>
      <c r="F723" s="40"/>
      <c r="G723" s="40"/>
    </row>
    <row r="724" spans="1:7">
      <c r="A724" s="39"/>
      <c r="B724" s="39"/>
      <c r="C724" s="39"/>
      <c r="D724" s="39"/>
      <c r="E724" s="39"/>
      <c r="F724" s="39"/>
      <c r="G724" s="39"/>
    </row>
    <row r="725" spans="1:7">
      <c r="A725" s="40"/>
      <c r="B725" s="40"/>
      <c r="C725" s="40"/>
      <c r="D725" s="40"/>
      <c r="E725" s="40"/>
      <c r="F725" s="40"/>
      <c r="G725" s="40"/>
    </row>
    <row r="726" spans="1:7">
      <c r="A726" s="39"/>
      <c r="B726" s="39"/>
      <c r="C726" s="39"/>
      <c r="D726" s="39"/>
      <c r="E726" s="39"/>
      <c r="F726" s="39"/>
      <c r="G726" s="39"/>
    </row>
    <row r="727" spans="1:7">
      <c r="A727" s="40"/>
      <c r="B727" s="40"/>
      <c r="C727" s="40"/>
      <c r="D727" s="40"/>
      <c r="E727" s="40"/>
      <c r="F727" s="40"/>
      <c r="G727" s="40"/>
    </row>
    <row r="728" spans="1:7">
      <c r="A728" s="39"/>
      <c r="B728" s="39"/>
      <c r="C728" s="39"/>
      <c r="D728" s="39"/>
      <c r="E728" s="39"/>
      <c r="F728" s="39"/>
      <c r="G728" s="39"/>
    </row>
    <row r="729" spans="1:7">
      <c r="A729" s="40"/>
      <c r="B729" s="40"/>
      <c r="C729" s="40"/>
      <c r="D729" s="40"/>
      <c r="E729" s="40"/>
      <c r="F729" s="40"/>
      <c r="G729" s="40"/>
    </row>
    <row r="730" spans="1:7">
      <c r="A730" s="39"/>
      <c r="B730" s="39"/>
      <c r="C730" s="39"/>
      <c r="D730" s="39"/>
      <c r="E730" s="39"/>
      <c r="F730" s="39"/>
      <c r="G730" s="39"/>
    </row>
    <row r="731" spans="1:7">
      <c r="A731" s="40"/>
      <c r="B731" s="40"/>
      <c r="C731" s="40"/>
      <c r="D731" s="40"/>
      <c r="E731" s="40"/>
      <c r="F731" s="40"/>
      <c r="G731" s="40"/>
    </row>
    <row r="732" spans="1:7">
      <c r="A732" s="39"/>
      <c r="B732" s="39"/>
      <c r="C732" s="39"/>
      <c r="D732" s="39"/>
      <c r="E732" s="39"/>
      <c r="F732" s="39"/>
      <c r="G732" s="39"/>
    </row>
    <row r="733" spans="1:7">
      <c r="A733" s="40"/>
      <c r="B733" s="40"/>
      <c r="C733" s="40"/>
      <c r="D733" s="40"/>
      <c r="E733" s="40"/>
      <c r="F733" s="40"/>
      <c r="G733" s="40"/>
    </row>
    <row r="734" spans="1:7">
      <c r="A734" s="39"/>
      <c r="B734" s="39"/>
      <c r="C734" s="39"/>
      <c r="D734" s="39"/>
      <c r="E734" s="39"/>
      <c r="F734" s="39"/>
      <c r="G734" s="39"/>
    </row>
    <row r="735" spans="1:7">
      <c r="A735" s="40"/>
      <c r="B735" s="40"/>
      <c r="C735" s="40"/>
      <c r="D735" s="40"/>
      <c r="E735" s="40"/>
      <c r="F735" s="40"/>
      <c r="G735" s="40"/>
    </row>
    <row r="736" spans="1:7">
      <c r="A736" s="39"/>
      <c r="B736" s="39"/>
      <c r="C736" s="39"/>
      <c r="D736" s="39"/>
      <c r="E736" s="39"/>
      <c r="F736" s="39"/>
      <c r="G736" s="39"/>
    </row>
    <row r="737" spans="1:7">
      <c r="A737" s="40"/>
      <c r="B737" s="40"/>
      <c r="C737" s="40"/>
      <c r="D737" s="40"/>
      <c r="E737" s="40"/>
      <c r="F737" s="40"/>
      <c r="G737" s="40"/>
    </row>
    <row r="738" spans="1:7">
      <c r="A738" s="39"/>
      <c r="B738" s="39"/>
      <c r="C738" s="39"/>
      <c r="D738" s="39"/>
      <c r="E738" s="39"/>
      <c r="F738" s="39"/>
      <c r="G738" s="39"/>
    </row>
    <row r="739" spans="1:7">
      <c r="A739" s="40"/>
      <c r="B739" s="40"/>
      <c r="C739" s="40"/>
      <c r="D739" s="40"/>
      <c r="E739" s="40"/>
      <c r="F739" s="40"/>
      <c r="G739" s="40"/>
    </row>
    <row r="740" spans="1:7">
      <c r="A740" s="39"/>
      <c r="B740" s="39"/>
      <c r="C740" s="39"/>
      <c r="D740" s="39"/>
      <c r="E740" s="39"/>
      <c r="F740" s="39"/>
      <c r="G740" s="39"/>
    </row>
    <row r="741" spans="1:7">
      <c r="A741" s="40"/>
      <c r="B741" s="40"/>
      <c r="C741" s="40"/>
      <c r="D741" s="40"/>
      <c r="E741" s="40"/>
      <c r="F741" s="40"/>
      <c r="G741" s="40"/>
    </row>
    <row r="742" spans="1:7">
      <c r="A742" s="39"/>
      <c r="B742" s="39"/>
      <c r="C742" s="39"/>
      <c r="D742" s="39"/>
      <c r="E742" s="39"/>
      <c r="F742" s="39"/>
      <c r="G742" s="39"/>
    </row>
    <row r="743" spans="1:7">
      <c r="A743" s="40"/>
      <c r="B743" s="40"/>
      <c r="C743" s="40"/>
      <c r="D743" s="40"/>
      <c r="E743" s="40"/>
      <c r="F743" s="40"/>
      <c r="G743" s="40"/>
    </row>
    <row r="744" spans="1:7">
      <c r="A744" s="39"/>
      <c r="B744" s="39"/>
      <c r="C744" s="39"/>
      <c r="D744" s="39"/>
      <c r="E744" s="39"/>
      <c r="F744" s="39"/>
      <c r="G744" s="39"/>
    </row>
    <row r="745" spans="1:7">
      <c r="A745" s="40"/>
      <c r="B745" s="40"/>
      <c r="C745" s="40"/>
      <c r="D745" s="40"/>
      <c r="E745" s="40"/>
      <c r="F745" s="40"/>
      <c r="G745" s="40"/>
    </row>
    <row r="746" spans="1:7">
      <c r="A746" s="39"/>
      <c r="B746" s="39"/>
      <c r="C746" s="39"/>
      <c r="D746" s="39"/>
      <c r="E746" s="39"/>
      <c r="F746" s="39"/>
      <c r="G746" s="39"/>
    </row>
    <row r="747" spans="1:7">
      <c r="A747" s="40"/>
      <c r="B747" s="40"/>
      <c r="C747" s="40"/>
      <c r="D747" s="40"/>
      <c r="E747" s="40"/>
      <c r="F747" s="40"/>
      <c r="G747" s="40"/>
    </row>
    <row r="748" spans="1:7">
      <c r="A748" s="39"/>
      <c r="B748" s="39"/>
      <c r="C748" s="39"/>
      <c r="D748" s="39"/>
      <c r="E748" s="39"/>
      <c r="F748" s="39"/>
      <c r="G748" s="39"/>
    </row>
    <row r="749" spans="1:7">
      <c r="A749" s="40"/>
      <c r="B749" s="40"/>
      <c r="C749" s="40"/>
      <c r="D749" s="40"/>
      <c r="E749" s="40"/>
      <c r="F749" s="40"/>
      <c r="G749" s="40"/>
    </row>
    <row r="750" spans="1:7">
      <c r="A750" s="39"/>
      <c r="B750" s="39"/>
      <c r="C750" s="39"/>
      <c r="D750" s="39"/>
      <c r="E750" s="39"/>
      <c r="F750" s="39"/>
      <c r="G750" s="39"/>
    </row>
    <row r="751" spans="1:7">
      <c r="A751" s="40"/>
      <c r="B751" s="40"/>
      <c r="C751" s="40"/>
      <c r="D751" s="40"/>
      <c r="E751" s="40"/>
      <c r="F751" s="40"/>
      <c r="G751" s="40"/>
    </row>
    <row r="752" spans="1:7">
      <c r="A752" s="39"/>
      <c r="B752" s="39"/>
      <c r="C752" s="39"/>
      <c r="D752" s="39"/>
      <c r="E752" s="39"/>
      <c r="F752" s="39"/>
      <c r="G752" s="39"/>
    </row>
    <row r="753" spans="1:7">
      <c r="A753" s="40"/>
      <c r="B753" s="40"/>
      <c r="C753" s="40"/>
      <c r="D753" s="40"/>
      <c r="E753" s="40"/>
      <c r="F753" s="40"/>
      <c r="G753" s="40"/>
    </row>
    <row r="754" spans="1:7">
      <c r="A754" s="39"/>
      <c r="B754" s="39"/>
      <c r="C754" s="39"/>
      <c r="D754" s="39"/>
      <c r="E754" s="39"/>
      <c r="F754" s="39"/>
      <c r="G754" s="39"/>
    </row>
    <row r="755" spans="1:7">
      <c r="A755" s="40"/>
      <c r="B755" s="40"/>
      <c r="C755" s="40"/>
      <c r="D755" s="40"/>
      <c r="E755" s="40"/>
      <c r="F755" s="40"/>
      <c r="G755" s="40"/>
    </row>
    <row r="756" spans="1:7">
      <c r="A756" s="39"/>
      <c r="B756" s="39"/>
      <c r="C756" s="39"/>
      <c r="D756" s="39"/>
      <c r="E756" s="39"/>
      <c r="F756" s="39"/>
      <c r="G756" s="39"/>
    </row>
    <row r="757" spans="1:7">
      <c r="A757" s="40"/>
      <c r="B757" s="40"/>
      <c r="C757" s="40"/>
      <c r="D757" s="40"/>
      <c r="E757" s="40"/>
      <c r="F757" s="40"/>
      <c r="G757" s="40"/>
    </row>
    <row r="758" spans="1:7">
      <c r="A758" s="39"/>
      <c r="B758" s="39"/>
      <c r="C758" s="39"/>
      <c r="D758" s="39"/>
      <c r="E758" s="39"/>
      <c r="F758" s="39"/>
      <c r="G758" s="39"/>
    </row>
    <row r="759" spans="1:7">
      <c r="A759" s="40"/>
      <c r="B759" s="40"/>
      <c r="C759" s="40"/>
      <c r="D759" s="40"/>
      <c r="E759" s="40"/>
      <c r="F759" s="40"/>
      <c r="G759" s="40"/>
    </row>
    <row r="760" spans="1:7">
      <c r="A760" s="39"/>
      <c r="B760" s="39"/>
      <c r="C760" s="39"/>
      <c r="D760" s="39"/>
      <c r="E760" s="39"/>
      <c r="F760" s="39"/>
      <c r="G760" s="39"/>
    </row>
    <row r="761" spans="1:7">
      <c r="A761" s="40"/>
      <c r="B761" s="40"/>
      <c r="C761" s="40"/>
      <c r="D761" s="40"/>
      <c r="E761" s="40"/>
      <c r="F761" s="40"/>
      <c r="G761" s="40"/>
    </row>
    <row r="762" spans="1:7">
      <c r="A762" s="39"/>
      <c r="B762" s="39"/>
      <c r="C762" s="39"/>
      <c r="D762" s="39"/>
      <c r="E762" s="39"/>
      <c r="F762" s="39"/>
      <c r="G762" s="39"/>
    </row>
    <row r="763" spans="1:7">
      <c r="A763" s="40"/>
      <c r="B763" s="40"/>
      <c r="C763" s="40"/>
      <c r="D763" s="40"/>
      <c r="E763" s="40"/>
      <c r="F763" s="40"/>
      <c r="G763" s="40"/>
    </row>
    <row r="764" spans="1:7">
      <c r="A764" s="39"/>
      <c r="B764" s="39"/>
      <c r="C764" s="39"/>
      <c r="D764" s="39"/>
      <c r="E764" s="39"/>
      <c r="F764" s="39"/>
      <c r="G764" s="39"/>
    </row>
    <row r="765" spans="1:7">
      <c r="A765" s="40"/>
      <c r="B765" s="40"/>
      <c r="C765" s="40"/>
      <c r="D765" s="40"/>
      <c r="E765" s="40"/>
      <c r="F765" s="40"/>
      <c r="G765" s="40"/>
    </row>
    <row r="766" spans="1:7">
      <c r="A766" s="39"/>
      <c r="B766" s="39"/>
      <c r="C766" s="39"/>
      <c r="D766" s="39"/>
      <c r="E766" s="39"/>
      <c r="F766" s="39"/>
      <c r="G766" s="39"/>
    </row>
    <row r="767" spans="1:7">
      <c r="A767" s="40"/>
      <c r="B767" s="40"/>
      <c r="C767" s="40"/>
      <c r="D767" s="40"/>
      <c r="E767" s="40"/>
      <c r="F767" s="40"/>
      <c r="G767" s="40"/>
    </row>
    <row r="768" spans="1:7">
      <c r="A768" s="39"/>
      <c r="B768" s="39"/>
      <c r="C768" s="39"/>
      <c r="D768" s="39"/>
      <c r="E768" s="39"/>
      <c r="F768" s="39"/>
      <c r="G768" s="39"/>
    </row>
    <row r="769" spans="1:7">
      <c r="A769" s="40"/>
      <c r="B769" s="40"/>
      <c r="C769" s="40"/>
      <c r="D769" s="40"/>
      <c r="E769" s="40"/>
      <c r="F769" s="40"/>
      <c r="G769" s="40"/>
    </row>
    <row r="770" spans="1:7">
      <c r="A770" s="39"/>
      <c r="B770" s="39"/>
      <c r="C770" s="39"/>
      <c r="D770" s="39"/>
      <c r="E770" s="39"/>
      <c r="F770" s="39"/>
      <c r="G770" s="39"/>
    </row>
    <row r="771" spans="1:7">
      <c r="A771" s="40"/>
      <c r="B771" s="40"/>
      <c r="C771" s="40"/>
      <c r="D771" s="40"/>
      <c r="E771" s="40"/>
      <c r="F771" s="40"/>
      <c r="G771" s="40"/>
    </row>
    <row r="772" spans="1:7">
      <c r="A772" s="39"/>
      <c r="B772" s="39"/>
      <c r="C772" s="39"/>
      <c r="D772" s="39"/>
      <c r="E772" s="39"/>
      <c r="F772" s="39"/>
      <c r="G772" s="39"/>
    </row>
    <row r="773" spans="1:7">
      <c r="A773" s="40"/>
      <c r="B773" s="40"/>
      <c r="C773" s="40"/>
      <c r="D773" s="40"/>
      <c r="E773" s="40"/>
      <c r="F773" s="40"/>
      <c r="G773" s="40"/>
    </row>
    <row r="774" spans="1:7">
      <c r="A774" s="39"/>
      <c r="B774" s="39"/>
      <c r="C774" s="39"/>
      <c r="D774" s="39"/>
      <c r="E774" s="39"/>
      <c r="F774" s="39"/>
      <c r="G774" s="39"/>
    </row>
    <row r="775" spans="1:7">
      <c r="A775" s="40"/>
      <c r="B775" s="40"/>
      <c r="C775" s="40"/>
      <c r="D775" s="40"/>
      <c r="E775" s="40"/>
      <c r="F775" s="40"/>
      <c r="G775" s="40"/>
    </row>
    <row r="776" spans="1:7">
      <c r="A776" s="39"/>
      <c r="B776" s="39"/>
      <c r="C776" s="39"/>
      <c r="D776" s="39"/>
      <c r="E776" s="39"/>
      <c r="F776" s="39"/>
      <c r="G776" s="39"/>
    </row>
    <row r="777" spans="1:7">
      <c r="A777" s="40"/>
      <c r="B777" s="40"/>
      <c r="C777" s="40"/>
      <c r="D777" s="40"/>
      <c r="E777" s="40"/>
      <c r="F777" s="40"/>
      <c r="G777" s="40"/>
    </row>
    <row r="778" spans="1:7">
      <c r="A778" s="39"/>
      <c r="B778" s="39"/>
      <c r="C778" s="39"/>
      <c r="D778" s="39"/>
      <c r="E778" s="39"/>
      <c r="F778" s="39"/>
      <c r="G778" s="39"/>
    </row>
    <row r="779" spans="1:7">
      <c r="A779" s="40"/>
      <c r="B779" s="40"/>
      <c r="C779" s="40"/>
      <c r="D779" s="40"/>
      <c r="E779" s="40"/>
      <c r="F779" s="40"/>
      <c r="G779" s="40"/>
    </row>
    <row r="780" spans="1:7">
      <c r="A780" s="39"/>
      <c r="B780" s="39"/>
      <c r="C780" s="39"/>
      <c r="D780" s="39"/>
      <c r="E780" s="39"/>
      <c r="F780" s="39"/>
      <c r="G780" s="39"/>
    </row>
    <row r="781" spans="1:7">
      <c r="A781" s="40"/>
      <c r="B781" s="40"/>
      <c r="C781" s="40"/>
      <c r="D781" s="40"/>
      <c r="E781" s="40"/>
      <c r="F781" s="40"/>
      <c r="G781" s="40"/>
    </row>
    <row r="782" spans="1:7">
      <c r="A782" s="39"/>
      <c r="B782" s="39"/>
      <c r="C782" s="39"/>
      <c r="D782" s="39"/>
      <c r="E782" s="39"/>
      <c r="F782" s="39"/>
      <c r="G782" s="39"/>
    </row>
    <row r="783" spans="1:7">
      <c r="A783" s="40"/>
      <c r="B783" s="40"/>
      <c r="C783" s="40"/>
      <c r="D783" s="40"/>
      <c r="E783" s="40"/>
      <c r="F783" s="40"/>
      <c r="G783" s="40"/>
    </row>
    <row r="784" spans="1:7">
      <c r="A784" s="39"/>
      <c r="B784" s="39"/>
      <c r="C784" s="39"/>
      <c r="D784" s="39"/>
      <c r="E784" s="39"/>
      <c r="F784" s="39"/>
      <c r="G784" s="39"/>
    </row>
    <row r="785" spans="1:7">
      <c r="A785" s="40"/>
      <c r="B785" s="40"/>
      <c r="C785" s="40"/>
      <c r="D785" s="40"/>
      <c r="E785" s="40"/>
      <c r="F785" s="40"/>
      <c r="G785" s="40"/>
    </row>
    <row r="786" spans="1:7">
      <c r="A786" s="39"/>
      <c r="B786" s="39"/>
      <c r="C786" s="39"/>
      <c r="D786" s="39"/>
      <c r="E786" s="39"/>
      <c r="F786" s="39"/>
      <c r="G786" s="39"/>
    </row>
    <row r="787" spans="1:7">
      <c r="A787" s="40"/>
      <c r="B787" s="40"/>
      <c r="C787" s="40"/>
      <c r="D787" s="40"/>
      <c r="E787" s="40"/>
      <c r="F787" s="40"/>
      <c r="G787" s="40"/>
    </row>
    <row r="788" spans="1:7">
      <c r="A788" s="39"/>
      <c r="B788" s="39"/>
      <c r="C788" s="39"/>
      <c r="D788" s="39"/>
      <c r="E788" s="39"/>
      <c r="F788" s="39"/>
      <c r="G788" s="39"/>
    </row>
    <row r="789" spans="1:7">
      <c r="A789" s="40"/>
      <c r="B789" s="40"/>
      <c r="C789" s="40"/>
      <c r="D789" s="40"/>
      <c r="E789" s="40"/>
      <c r="F789" s="40"/>
      <c r="G789" s="40"/>
    </row>
    <row r="790" spans="1:7">
      <c r="A790" s="39"/>
      <c r="B790" s="39"/>
      <c r="C790" s="39"/>
      <c r="D790" s="39"/>
      <c r="E790" s="39"/>
      <c r="F790" s="39"/>
      <c r="G790" s="39"/>
    </row>
    <row r="791" spans="1:7">
      <c r="A791" s="40"/>
      <c r="B791" s="40"/>
      <c r="C791" s="40"/>
      <c r="D791" s="40"/>
      <c r="E791" s="40"/>
      <c r="F791" s="40"/>
      <c r="G791" s="40"/>
    </row>
    <row r="792" spans="1:7">
      <c r="A792" s="39"/>
      <c r="B792" s="39"/>
      <c r="C792" s="39"/>
      <c r="D792" s="39"/>
      <c r="E792" s="39"/>
      <c r="F792" s="39"/>
      <c r="G792" s="39"/>
    </row>
    <row r="793" spans="1:7">
      <c r="A793" s="40"/>
      <c r="B793" s="40"/>
      <c r="C793" s="40"/>
      <c r="D793" s="40"/>
      <c r="E793" s="40"/>
      <c r="F793" s="40"/>
      <c r="G793" s="40"/>
    </row>
    <row r="794" spans="1:7">
      <c r="A794" s="39"/>
      <c r="B794" s="39"/>
      <c r="C794" s="39"/>
      <c r="D794" s="39"/>
      <c r="E794" s="39"/>
      <c r="F794" s="39"/>
      <c r="G794" s="39"/>
    </row>
    <row r="795" spans="1:7">
      <c r="A795" s="40"/>
      <c r="B795" s="40"/>
      <c r="C795" s="40"/>
      <c r="D795" s="40"/>
      <c r="E795" s="40"/>
      <c r="F795" s="40"/>
      <c r="G795" s="40"/>
    </row>
    <row r="796" spans="1:7">
      <c r="A796" s="39"/>
      <c r="B796" s="39"/>
      <c r="C796" s="39"/>
      <c r="D796" s="39"/>
      <c r="E796" s="39"/>
      <c r="F796" s="39"/>
      <c r="G796" s="39"/>
    </row>
    <row r="797" spans="1:7">
      <c r="A797" s="40"/>
      <c r="B797" s="40"/>
      <c r="C797" s="40"/>
      <c r="D797" s="40"/>
      <c r="E797" s="40"/>
      <c r="F797" s="40"/>
      <c r="G797" s="40"/>
    </row>
    <row r="798" spans="1:7">
      <c r="A798" s="39"/>
      <c r="B798" s="39"/>
      <c r="C798" s="39"/>
      <c r="D798" s="39"/>
      <c r="E798" s="39"/>
      <c r="F798" s="39"/>
      <c r="G798" s="39"/>
    </row>
    <row r="799" spans="1:7">
      <c r="A799" s="40"/>
      <c r="B799" s="40"/>
      <c r="C799" s="40"/>
      <c r="D799" s="40"/>
      <c r="E799" s="40"/>
      <c r="F799" s="40"/>
      <c r="G799" s="40"/>
    </row>
    <row r="800" spans="1:7">
      <c r="A800" s="39"/>
      <c r="B800" s="39"/>
      <c r="C800" s="39"/>
      <c r="D800" s="39"/>
      <c r="E800" s="39"/>
      <c r="F800" s="39"/>
      <c r="G800" s="39"/>
    </row>
    <row r="801" spans="1:7">
      <c r="A801" s="40"/>
      <c r="B801" s="40"/>
      <c r="C801" s="40"/>
      <c r="D801" s="40"/>
      <c r="E801" s="40"/>
      <c r="F801" s="40"/>
      <c r="G801" s="40"/>
    </row>
    <row r="802" spans="1:7">
      <c r="A802" s="39"/>
      <c r="B802" s="39"/>
      <c r="C802" s="39"/>
      <c r="D802" s="39"/>
      <c r="E802" s="39"/>
      <c r="F802" s="39"/>
      <c r="G802" s="39"/>
    </row>
    <row r="803" spans="1:7">
      <c r="A803" s="40"/>
      <c r="B803" s="40"/>
      <c r="C803" s="40"/>
      <c r="D803" s="40"/>
      <c r="E803" s="40"/>
      <c r="F803" s="40"/>
      <c r="G803" s="40"/>
    </row>
    <row r="804" spans="1:7">
      <c r="A804" s="39"/>
      <c r="B804" s="39"/>
      <c r="C804" s="39"/>
      <c r="D804" s="39"/>
      <c r="E804" s="39"/>
      <c r="F804" s="39"/>
      <c r="G804" s="39"/>
    </row>
    <row r="805" spans="1:7">
      <c r="A805" s="40"/>
      <c r="B805" s="40"/>
      <c r="C805" s="40"/>
      <c r="D805" s="40"/>
      <c r="E805" s="40"/>
      <c r="F805" s="40"/>
      <c r="G805" s="40"/>
    </row>
    <row r="806" spans="1:7">
      <c r="A806" s="39"/>
      <c r="B806" s="39"/>
      <c r="C806" s="39"/>
      <c r="D806" s="39"/>
      <c r="E806" s="39"/>
      <c r="F806" s="39"/>
      <c r="G806" s="39"/>
    </row>
    <row r="807" spans="1:7">
      <c r="A807" s="40"/>
      <c r="B807" s="40"/>
      <c r="C807" s="40"/>
      <c r="D807" s="40"/>
      <c r="E807" s="40"/>
      <c r="F807" s="40"/>
      <c r="G807" s="40"/>
    </row>
    <row r="808" spans="1:7">
      <c r="A808" s="39"/>
      <c r="B808" s="39"/>
      <c r="C808" s="39"/>
      <c r="D808" s="39"/>
      <c r="E808" s="39"/>
      <c r="F808" s="39"/>
      <c r="G808" s="39"/>
    </row>
    <row r="809" spans="1:7">
      <c r="A809" s="40"/>
      <c r="B809" s="40"/>
      <c r="C809" s="40"/>
      <c r="D809" s="40"/>
      <c r="E809" s="40"/>
      <c r="F809" s="40"/>
      <c r="G809" s="40"/>
    </row>
    <row r="810" spans="1:7">
      <c r="A810" s="39"/>
      <c r="B810" s="39"/>
      <c r="C810" s="39"/>
      <c r="D810" s="39"/>
      <c r="E810" s="39"/>
      <c r="F810" s="39"/>
      <c r="G810" s="39"/>
    </row>
    <row r="811" spans="1:7">
      <c r="A811" s="40"/>
      <c r="B811" s="40"/>
      <c r="C811" s="40"/>
      <c r="D811" s="40"/>
      <c r="E811" s="40"/>
      <c r="F811" s="40"/>
      <c r="G811" s="40"/>
    </row>
    <row r="812" spans="1:7">
      <c r="A812" s="39"/>
      <c r="B812" s="39"/>
      <c r="C812" s="39"/>
      <c r="D812" s="39"/>
      <c r="E812" s="39"/>
      <c r="F812" s="39"/>
      <c r="G812" s="39"/>
    </row>
    <row r="813" spans="1:7">
      <c r="A813" s="40"/>
      <c r="B813" s="40"/>
      <c r="C813" s="40"/>
      <c r="D813" s="40"/>
      <c r="E813" s="40"/>
      <c r="F813" s="40"/>
      <c r="G813" s="40"/>
    </row>
    <row r="814" spans="1:7">
      <c r="A814" s="39"/>
      <c r="B814" s="39"/>
      <c r="C814" s="39"/>
      <c r="D814" s="39"/>
      <c r="E814" s="39"/>
      <c r="F814" s="39"/>
      <c r="G814" s="39"/>
    </row>
    <row r="815" spans="1:7">
      <c r="A815" s="40"/>
      <c r="B815" s="40"/>
      <c r="C815" s="40"/>
      <c r="D815" s="40"/>
      <c r="E815" s="40"/>
      <c r="F815" s="40"/>
      <c r="G815" s="40"/>
    </row>
    <row r="816" spans="1:7">
      <c r="A816" s="39"/>
      <c r="B816" s="39"/>
      <c r="C816" s="39"/>
      <c r="D816" s="39"/>
      <c r="E816" s="39"/>
      <c r="F816" s="39"/>
      <c r="G816" s="39"/>
    </row>
    <row r="817" spans="1:7">
      <c r="A817" s="40"/>
      <c r="B817" s="40"/>
      <c r="C817" s="40"/>
      <c r="D817" s="40"/>
      <c r="E817" s="40"/>
      <c r="F817" s="40"/>
      <c r="G817" s="40"/>
    </row>
    <row r="818" spans="1:7">
      <c r="A818" s="39"/>
      <c r="B818" s="39"/>
      <c r="C818" s="39"/>
      <c r="D818" s="39"/>
      <c r="E818" s="39"/>
      <c r="F818" s="39"/>
      <c r="G818" s="39"/>
    </row>
    <row r="819" spans="1:7">
      <c r="A819" s="40"/>
      <c r="B819" s="40"/>
      <c r="C819" s="40"/>
      <c r="D819" s="40"/>
      <c r="E819" s="40"/>
      <c r="F819" s="40"/>
      <c r="G819" s="40"/>
    </row>
    <row r="820" spans="1:7">
      <c r="A820" s="39"/>
      <c r="B820" s="39"/>
      <c r="C820" s="39"/>
      <c r="D820" s="39"/>
      <c r="E820" s="39"/>
      <c r="F820" s="39"/>
      <c r="G820" s="39"/>
    </row>
    <row r="821" spans="1:7">
      <c r="A821" s="40"/>
      <c r="B821" s="40"/>
      <c r="C821" s="40"/>
      <c r="D821" s="40"/>
      <c r="E821" s="40"/>
      <c r="F821" s="40"/>
      <c r="G821" s="40"/>
    </row>
    <row r="822" spans="1:7">
      <c r="A822" s="39"/>
      <c r="B822" s="39"/>
      <c r="C822" s="39"/>
      <c r="D822" s="39"/>
      <c r="E822" s="39"/>
      <c r="F822" s="39"/>
      <c r="G822" s="39"/>
    </row>
    <row r="823" spans="1:7">
      <c r="A823" s="40"/>
      <c r="B823" s="40"/>
      <c r="C823" s="40"/>
      <c r="D823" s="40"/>
      <c r="E823" s="40"/>
      <c r="F823" s="40"/>
      <c r="G823" s="40"/>
    </row>
    <row r="824" spans="1:7">
      <c r="A824" s="39"/>
      <c r="B824" s="39"/>
      <c r="C824" s="39"/>
      <c r="D824" s="39"/>
      <c r="E824" s="39"/>
      <c r="F824" s="39"/>
      <c r="G824" s="39"/>
    </row>
    <row r="825" spans="1:7">
      <c r="A825" s="40"/>
      <c r="B825" s="40"/>
      <c r="C825" s="40"/>
      <c r="D825" s="40"/>
      <c r="E825" s="40"/>
      <c r="F825" s="40"/>
      <c r="G825" s="40"/>
    </row>
    <row r="826" spans="1:7">
      <c r="A826" s="39"/>
      <c r="B826" s="39"/>
      <c r="C826" s="39"/>
      <c r="D826" s="39"/>
      <c r="E826" s="39"/>
      <c r="F826" s="39"/>
      <c r="G826" s="39"/>
    </row>
    <row r="827" spans="1:7">
      <c r="A827" s="40"/>
      <c r="B827" s="40"/>
      <c r="C827" s="40"/>
      <c r="D827" s="40"/>
      <c r="E827" s="40"/>
      <c r="F827" s="40"/>
      <c r="G827" s="40"/>
    </row>
    <row r="828" spans="1:7">
      <c r="A828" s="39"/>
      <c r="B828" s="39"/>
      <c r="C828" s="39"/>
      <c r="D828" s="39"/>
      <c r="E828" s="39"/>
      <c r="F828" s="39"/>
      <c r="G828" s="39"/>
    </row>
    <row r="829" spans="1:7">
      <c r="A829" s="40"/>
      <c r="B829" s="40"/>
      <c r="C829" s="40"/>
      <c r="D829" s="40"/>
      <c r="E829" s="40"/>
      <c r="F829" s="40"/>
      <c r="G829" s="40"/>
    </row>
    <row r="830" spans="1:7">
      <c r="A830" s="39"/>
      <c r="B830" s="39"/>
      <c r="C830" s="39"/>
      <c r="D830" s="39"/>
      <c r="E830" s="39"/>
      <c r="F830" s="39"/>
      <c r="G830" s="39"/>
    </row>
    <row r="831" spans="1:7">
      <c r="A831" s="40"/>
      <c r="B831" s="40"/>
      <c r="C831" s="40"/>
      <c r="D831" s="40"/>
      <c r="E831" s="40"/>
      <c r="F831" s="40"/>
      <c r="G831" s="40"/>
    </row>
    <row r="832" spans="1:7">
      <c r="A832" s="39"/>
      <c r="B832" s="39"/>
      <c r="C832" s="39"/>
      <c r="D832" s="39"/>
      <c r="E832" s="39"/>
      <c r="F832" s="39"/>
      <c r="G832" s="39"/>
    </row>
    <row r="833" spans="1:7">
      <c r="A833" s="40"/>
      <c r="B833" s="40"/>
      <c r="C833" s="40"/>
      <c r="D833" s="40"/>
      <c r="E833" s="40"/>
      <c r="F833" s="40"/>
      <c r="G833" s="40"/>
    </row>
    <row r="834" spans="1:7">
      <c r="A834" s="39"/>
      <c r="B834" s="39"/>
      <c r="C834" s="39"/>
      <c r="D834" s="39"/>
      <c r="E834" s="39"/>
      <c r="F834" s="39"/>
      <c r="G834" s="39"/>
    </row>
    <row r="835" spans="1:7">
      <c r="A835" s="40"/>
      <c r="B835" s="40"/>
      <c r="C835" s="40"/>
      <c r="D835" s="40"/>
      <c r="E835" s="40"/>
      <c r="F835" s="40"/>
      <c r="G835" s="40"/>
    </row>
    <row r="836" spans="1:7">
      <c r="A836" s="39"/>
      <c r="B836" s="39"/>
      <c r="C836" s="39"/>
      <c r="D836" s="39"/>
      <c r="E836" s="39"/>
      <c r="F836" s="39"/>
      <c r="G836" s="39"/>
    </row>
    <row r="837" spans="1:7">
      <c r="A837" s="40"/>
      <c r="B837" s="40"/>
      <c r="C837" s="40"/>
      <c r="D837" s="40"/>
      <c r="E837" s="40"/>
      <c r="F837" s="40"/>
      <c r="G837" s="40"/>
    </row>
    <row r="838" spans="1:7">
      <c r="A838" s="39"/>
      <c r="B838" s="39"/>
      <c r="C838" s="39"/>
      <c r="D838" s="39"/>
      <c r="E838" s="39"/>
      <c r="F838" s="39"/>
      <c r="G838" s="39"/>
    </row>
    <row r="839" spans="1:7">
      <c r="A839" s="40"/>
      <c r="B839" s="40"/>
      <c r="C839" s="40"/>
      <c r="D839" s="40"/>
      <c r="E839" s="40"/>
      <c r="F839" s="40"/>
      <c r="G839" s="40"/>
    </row>
    <row r="840" spans="1:7">
      <c r="A840" s="39"/>
      <c r="B840" s="39"/>
      <c r="C840" s="39"/>
      <c r="D840" s="39"/>
      <c r="E840" s="39"/>
      <c r="F840" s="39"/>
      <c r="G840" s="39"/>
    </row>
    <row r="841" spans="1:7">
      <c r="A841" s="40"/>
      <c r="B841" s="40"/>
      <c r="C841" s="40"/>
      <c r="D841" s="40"/>
      <c r="E841" s="40"/>
      <c r="F841" s="40"/>
      <c r="G841" s="40"/>
    </row>
    <row r="842" spans="1:7">
      <c r="A842" s="39"/>
      <c r="B842" s="39"/>
      <c r="C842" s="39"/>
      <c r="D842" s="39"/>
      <c r="E842" s="39"/>
      <c r="F842" s="39"/>
      <c r="G842" s="39"/>
    </row>
    <row r="843" spans="1:7">
      <c r="A843" s="40"/>
      <c r="B843" s="40"/>
      <c r="C843" s="40"/>
      <c r="D843" s="40"/>
      <c r="E843" s="40"/>
      <c r="F843" s="40"/>
      <c r="G843" s="40"/>
    </row>
    <row r="844" spans="1:7">
      <c r="A844" s="39"/>
      <c r="B844" s="39"/>
      <c r="C844" s="39"/>
      <c r="D844" s="39"/>
      <c r="E844" s="39"/>
      <c r="F844" s="39"/>
      <c r="G844" s="39"/>
    </row>
    <row r="845" spans="1:7">
      <c r="A845" s="40"/>
      <c r="B845" s="40"/>
      <c r="C845" s="40"/>
      <c r="D845" s="40"/>
      <c r="E845" s="40"/>
      <c r="F845" s="40"/>
      <c r="G845" s="40"/>
    </row>
    <row r="846" spans="1:7">
      <c r="A846" s="39"/>
      <c r="B846" s="39"/>
      <c r="C846" s="39"/>
      <c r="D846" s="39"/>
      <c r="E846" s="39"/>
      <c r="F846" s="39"/>
      <c r="G846" s="39"/>
    </row>
    <row r="847" spans="1:7">
      <c r="A847" s="40"/>
      <c r="B847" s="40"/>
      <c r="C847" s="40"/>
      <c r="D847" s="40"/>
      <c r="E847" s="40"/>
      <c r="F847" s="40"/>
      <c r="G847" s="40"/>
    </row>
    <row r="848" spans="1:7">
      <c r="A848" s="39"/>
      <c r="B848" s="39"/>
      <c r="C848" s="39"/>
      <c r="D848" s="39"/>
      <c r="E848" s="39"/>
      <c r="F848" s="39"/>
      <c r="G848" s="39"/>
    </row>
    <row r="849" spans="1:7">
      <c r="A849" s="40"/>
      <c r="B849" s="40"/>
      <c r="C849" s="40"/>
      <c r="D849" s="40"/>
      <c r="E849" s="40"/>
      <c r="F849" s="40"/>
      <c r="G849" s="40"/>
    </row>
    <row r="850" spans="1:7">
      <c r="A850" s="39"/>
      <c r="B850" s="39"/>
      <c r="C850" s="39"/>
      <c r="D850" s="39"/>
      <c r="E850" s="39"/>
      <c r="F850" s="39"/>
      <c r="G850" s="39"/>
    </row>
    <row r="851" spans="1:7">
      <c r="A851" s="40"/>
      <c r="B851" s="40"/>
      <c r="C851" s="40"/>
      <c r="D851" s="40"/>
      <c r="E851" s="40"/>
      <c r="F851" s="40"/>
      <c r="G851" s="40"/>
    </row>
    <row r="852" spans="1:7">
      <c r="A852" s="39"/>
      <c r="B852" s="39"/>
      <c r="C852" s="39"/>
      <c r="D852" s="39"/>
      <c r="E852" s="39"/>
      <c r="F852" s="39"/>
      <c r="G852" s="39"/>
    </row>
    <row r="853" spans="1:7">
      <c r="A853" s="40"/>
      <c r="B853" s="40"/>
      <c r="C853" s="40"/>
      <c r="D853" s="40"/>
      <c r="E853" s="40"/>
      <c r="F853" s="40"/>
      <c r="G853" s="40"/>
    </row>
    <row r="854" spans="1:7">
      <c r="A854" s="39"/>
      <c r="B854" s="39"/>
      <c r="C854" s="39"/>
      <c r="D854" s="39"/>
      <c r="E854" s="39"/>
      <c r="F854" s="39"/>
      <c r="G854" s="39"/>
    </row>
    <row r="855" spans="1:7">
      <c r="A855" s="40"/>
      <c r="B855" s="40"/>
      <c r="C855" s="40"/>
      <c r="D855" s="40"/>
      <c r="E855" s="40"/>
      <c r="F855" s="40"/>
      <c r="G855" s="40"/>
    </row>
    <row r="856" spans="1:7">
      <c r="A856" s="39"/>
      <c r="B856" s="39"/>
      <c r="C856" s="39"/>
      <c r="D856" s="39"/>
      <c r="E856" s="39"/>
      <c r="F856" s="39"/>
      <c r="G856" s="39"/>
    </row>
    <row r="857" spans="1:7">
      <c r="A857" s="40"/>
      <c r="B857" s="40"/>
      <c r="C857" s="40"/>
      <c r="D857" s="40"/>
      <c r="E857" s="40"/>
      <c r="F857" s="40"/>
      <c r="G857" s="40"/>
    </row>
    <row r="858" spans="1:7">
      <c r="A858" s="39"/>
      <c r="B858" s="39"/>
      <c r="C858" s="39"/>
      <c r="D858" s="39"/>
      <c r="E858" s="39"/>
      <c r="F858" s="39"/>
      <c r="G858" s="39"/>
    </row>
    <row r="859" spans="1:7">
      <c r="A859" s="40"/>
      <c r="B859" s="40"/>
      <c r="C859" s="40"/>
      <c r="D859" s="40"/>
      <c r="E859" s="40"/>
      <c r="F859" s="40"/>
      <c r="G859" s="40"/>
    </row>
    <row r="860" spans="1:7">
      <c r="A860" s="39"/>
      <c r="B860" s="39"/>
      <c r="C860" s="39"/>
      <c r="D860" s="39"/>
      <c r="E860" s="39"/>
      <c r="F860" s="39"/>
      <c r="G860" s="39"/>
    </row>
    <row r="861" spans="1:7">
      <c r="A861" s="40"/>
      <c r="B861" s="40"/>
      <c r="C861" s="40"/>
      <c r="D861" s="40"/>
      <c r="E861" s="40"/>
      <c r="F861" s="40"/>
      <c r="G861" s="40"/>
    </row>
    <row r="862" spans="1:7">
      <c r="A862" s="39"/>
      <c r="B862" s="39"/>
      <c r="C862" s="39"/>
      <c r="D862" s="39"/>
      <c r="E862" s="39"/>
      <c r="F862" s="39"/>
      <c r="G862" s="39"/>
    </row>
    <row r="863" spans="1:7">
      <c r="A863" s="40"/>
      <c r="B863" s="40"/>
      <c r="C863" s="40"/>
      <c r="D863" s="40"/>
      <c r="E863" s="40"/>
      <c r="F863" s="40"/>
      <c r="G863" s="40"/>
    </row>
    <row r="864" spans="1:7">
      <c r="A864" s="39"/>
      <c r="B864" s="39"/>
      <c r="C864" s="39"/>
      <c r="D864" s="39"/>
      <c r="E864" s="39"/>
      <c r="F864" s="39"/>
      <c r="G864" s="39"/>
    </row>
    <row r="865" spans="1:7">
      <c r="A865" s="40"/>
      <c r="B865" s="40"/>
      <c r="C865" s="40"/>
      <c r="D865" s="40"/>
      <c r="E865" s="40"/>
      <c r="F865" s="40"/>
      <c r="G865" s="40"/>
    </row>
    <row r="866" spans="1:7">
      <c r="A866" s="39"/>
      <c r="B866" s="39"/>
      <c r="C866" s="39"/>
      <c r="D866" s="39"/>
      <c r="E866" s="39"/>
      <c r="F866" s="39"/>
      <c r="G866" s="39"/>
    </row>
    <row r="867" spans="1:7">
      <c r="A867" s="40"/>
      <c r="B867" s="40"/>
      <c r="C867" s="40"/>
      <c r="D867" s="40"/>
      <c r="E867" s="40"/>
      <c r="F867" s="40"/>
      <c r="G867" s="40"/>
    </row>
    <row r="868" spans="1:7">
      <c r="A868" s="39"/>
      <c r="B868" s="39"/>
      <c r="C868" s="39"/>
      <c r="D868" s="39"/>
      <c r="E868" s="39"/>
      <c r="F868" s="39"/>
      <c r="G868" s="39"/>
    </row>
    <row r="869" spans="1:7">
      <c r="A869" s="40"/>
      <c r="B869" s="40"/>
      <c r="C869" s="40"/>
      <c r="D869" s="40"/>
      <c r="E869" s="40"/>
      <c r="F869" s="40"/>
      <c r="G869" s="40"/>
    </row>
    <row r="870" spans="1:7">
      <c r="A870" s="39"/>
      <c r="B870" s="39"/>
      <c r="C870" s="39"/>
      <c r="D870" s="39"/>
      <c r="E870" s="39"/>
      <c r="F870" s="39"/>
      <c r="G870" s="39"/>
    </row>
    <row r="871" spans="1:7">
      <c r="A871" s="40"/>
      <c r="B871" s="40"/>
      <c r="C871" s="40"/>
      <c r="D871" s="40"/>
      <c r="E871" s="40"/>
      <c r="F871" s="40"/>
      <c r="G871" s="40"/>
    </row>
    <row r="872" spans="1:7">
      <c r="A872" s="39"/>
      <c r="B872" s="39"/>
      <c r="C872" s="39"/>
      <c r="D872" s="39"/>
      <c r="E872" s="39"/>
      <c r="F872" s="39"/>
      <c r="G872" s="39"/>
    </row>
    <row r="873" spans="1:7">
      <c r="A873" s="40"/>
      <c r="B873" s="40"/>
      <c r="C873" s="40"/>
      <c r="D873" s="40"/>
      <c r="E873" s="40"/>
      <c r="F873" s="40"/>
      <c r="G873" s="40"/>
    </row>
    <row r="874" spans="1:7">
      <c r="A874" s="39"/>
      <c r="B874" s="39"/>
      <c r="C874" s="39"/>
      <c r="D874" s="39"/>
      <c r="E874" s="39"/>
      <c r="F874" s="39"/>
      <c r="G874" s="39"/>
    </row>
    <row r="875" spans="1:7">
      <c r="A875" s="40"/>
      <c r="B875" s="40"/>
      <c r="C875" s="40"/>
      <c r="D875" s="40"/>
      <c r="E875" s="40"/>
      <c r="F875" s="40"/>
      <c r="G875" s="40"/>
    </row>
    <row r="876" spans="1:7">
      <c r="A876" s="39"/>
      <c r="B876" s="39"/>
      <c r="C876" s="39"/>
      <c r="D876" s="39"/>
      <c r="E876" s="39"/>
      <c r="F876" s="39"/>
      <c r="G876" s="39"/>
    </row>
    <row r="877" spans="1:7">
      <c r="A877" s="40"/>
      <c r="B877" s="40"/>
      <c r="C877" s="40"/>
      <c r="D877" s="40"/>
      <c r="E877" s="40"/>
      <c r="F877" s="40"/>
      <c r="G877" s="40"/>
    </row>
    <row r="878" spans="1:7">
      <c r="A878" s="39"/>
      <c r="B878" s="39"/>
      <c r="C878" s="39"/>
      <c r="D878" s="39"/>
      <c r="E878" s="39"/>
      <c r="F878" s="39"/>
      <c r="G878" s="39"/>
    </row>
    <row r="879" spans="1:7">
      <c r="A879" s="40"/>
      <c r="B879" s="40"/>
      <c r="C879" s="40"/>
      <c r="D879" s="40"/>
      <c r="E879" s="40"/>
      <c r="F879" s="40"/>
      <c r="G879" s="40"/>
    </row>
    <row r="880" spans="1:7">
      <c r="A880" s="39"/>
      <c r="B880" s="39"/>
      <c r="C880" s="39"/>
      <c r="D880" s="39"/>
      <c r="E880" s="39"/>
      <c r="F880" s="39"/>
      <c r="G880" s="39"/>
    </row>
    <row r="881" spans="1:7">
      <c r="A881" s="40"/>
      <c r="B881" s="40"/>
      <c r="C881" s="40"/>
      <c r="D881" s="40"/>
      <c r="E881" s="40"/>
      <c r="F881" s="40"/>
      <c r="G881" s="40"/>
    </row>
    <row r="882" spans="1:7">
      <c r="A882" s="39"/>
      <c r="B882" s="39"/>
      <c r="C882" s="39"/>
      <c r="D882" s="39"/>
      <c r="E882" s="39"/>
      <c r="F882" s="39"/>
      <c r="G882" s="39"/>
    </row>
    <row r="883" spans="1:7">
      <c r="A883" s="40"/>
      <c r="B883" s="40"/>
      <c r="C883" s="40"/>
      <c r="D883" s="40"/>
      <c r="E883" s="40"/>
      <c r="F883" s="40"/>
      <c r="G883" s="40"/>
    </row>
    <row r="884" spans="1:7">
      <c r="A884" s="39"/>
      <c r="B884" s="39"/>
      <c r="C884" s="39"/>
      <c r="D884" s="39"/>
      <c r="E884" s="39"/>
      <c r="F884" s="39"/>
      <c r="G884" s="39"/>
    </row>
    <row r="885" spans="1:7">
      <c r="A885" s="40"/>
      <c r="B885" s="40"/>
      <c r="C885" s="40"/>
      <c r="D885" s="40"/>
      <c r="E885" s="40"/>
      <c r="F885" s="40"/>
      <c r="G885" s="40"/>
    </row>
    <row r="886" spans="1:7">
      <c r="A886" s="39"/>
      <c r="B886" s="39"/>
      <c r="C886" s="39"/>
      <c r="D886" s="39"/>
      <c r="E886" s="39"/>
      <c r="F886" s="39"/>
      <c r="G886" s="39"/>
    </row>
    <row r="887" spans="1:7">
      <c r="A887" s="40"/>
      <c r="B887" s="40"/>
      <c r="C887" s="40"/>
      <c r="D887" s="40"/>
      <c r="E887" s="40"/>
      <c r="F887" s="40"/>
      <c r="G887" s="40"/>
    </row>
    <row r="888" spans="1:7">
      <c r="A888" s="39"/>
      <c r="B888" s="39"/>
      <c r="C888" s="39"/>
      <c r="D888" s="39"/>
      <c r="E888" s="39"/>
      <c r="F888" s="39"/>
      <c r="G888" s="39"/>
    </row>
    <row r="889" spans="1:7">
      <c r="A889" s="40"/>
      <c r="B889" s="40"/>
      <c r="C889" s="40"/>
      <c r="D889" s="40"/>
      <c r="E889" s="40"/>
      <c r="F889" s="40"/>
      <c r="G889" s="40"/>
    </row>
    <row r="890" spans="1:7">
      <c r="A890" s="39"/>
      <c r="B890" s="39"/>
      <c r="C890" s="39"/>
      <c r="D890" s="39"/>
      <c r="E890" s="39"/>
      <c r="F890" s="39"/>
      <c r="G890" s="39"/>
    </row>
    <row r="891" spans="1:7">
      <c r="A891" s="40"/>
      <c r="B891" s="40"/>
      <c r="C891" s="40"/>
      <c r="D891" s="40"/>
      <c r="E891" s="40"/>
      <c r="F891" s="40"/>
      <c r="G891" s="40"/>
    </row>
    <row r="892" spans="1:7">
      <c r="A892" s="39"/>
      <c r="B892" s="39"/>
      <c r="C892" s="39"/>
      <c r="D892" s="39"/>
      <c r="E892" s="39"/>
      <c r="F892" s="39"/>
      <c r="G892" s="39"/>
    </row>
    <row r="893" spans="1:7">
      <c r="A893" s="40"/>
      <c r="B893" s="40"/>
      <c r="C893" s="40"/>
      <c r="D893" s="40"/>
      <c r="E893" s="40"/>
      <c r="F893" s="40"/>
      <c r="G893" s="40"/>
    </row>
    <row r="894" spans="1:7">
      <c r="A894" s="39"/>
      <c r="B894" s="39"/>
      <c r="C894" s="39"/>
      <c r="D894" s="39"/>
      <c r="E894" s="39"/>
      <c r="F894" s="39"/>
      <c r="G894" s="39"/>
    </row>
    <row r="895" spans="1:7">
      <c r="A895" s="40"/>
      <c r="B895" s="40"/>
      <c r="C895" s="40"/>
      <c r="D895" s="40"/>
      <c r="E895" s="40"/>
      <c r="F895" s="40"/>
      <c r="G895" s="40"/>
    </row>
    <row r="896" spans="1:7">
      <c r="A896" s="39"/>
      <c r="B896" s="39"/>
      <c r="C896" s="39"/>
      <c r="D896" s="39"/>
      <c r="E896" s="39"/>
      <c r="F896" s="39"/>
      <c r="G896" s="39"/>
    </row>
    <row r="897" spans="1:7">
      <c r="A897" s="40"/>
      <c r="B897" s="40"/>
      <c r="C897" s="40"/>
      <c r="D897" s="40"/>
      <c r="E897" s="40"/>
      <c r="F897" s="40"/>
      <c r="G897" s="40"/>
    </row>
    <row r="898" spans="1:7">
      <c r="A898" s="39"/>
      <c r="B898" s="39"/>
      <c r="C898" s="39"/>
      <c r="D898" s="39"/>
      <c r="E898" s="39"/>
      <c r="F898" s="39"/>
      <c r="G898" s="39"/>
    </row>
    <row r="899" spans="1:7">
      <c r="A899" s="40"/>
      <c r="B899" s="40"/>
      <c r="C899" s="40"/>
      <c r="D899" s="40"/>
      <c r="E899" s="40"/>
      <c r="F899" s="40"/>
      <c r="G899" s="40"/>
    </row>
    <row r="900" spans="1:7">
      <c r="A900" s="39"/>
      <c r="B900" s="39"/>
      <c r="C900" s="39"/>
      <c r="D900" s="39"/>
      <c r="E900" s="39"/>
      <c r="F900" s="39"/>
      <c r="G900" s="39"/>
    </row>
    <row r="901" spans="1:7">
      <c r="A901" s="40"/>
      <c r="B901" s="40"/>
      <c r="C901" s="40"/>
      <c r="D901" s="40"/>
      <c r="E901" s="40"/>
      <c r="F901" s="40"/>
      <c r="G901" s="40"/>
    </row>
    <row r="902" spans="1:7">
      <c r="A902" s="39"/>
      <c r="B902" s="39"/>
      <c r="C902" s="39"/>
      <c r="D902" s="39"/>
      <c r="E902" s="39"/>
      <c r="F902" s="39"/>
      <c r="G902" s="39"/>
    </row>
    <row r="903" spans="1:7">
      <c r="A903" s="40"/>
      <c r="B903" s="40"/>
      <c r="C903" s="40"/>
      <c r="D903" s="40"/>
      <c r="E903" s="40"/>
      <c r="F903" s="40"/>
      <c r="G903" s="40"/>
    </row>
    <row r="904" spans="1:7">
      <c r="A904" s="39"/>
      <c r="B904" s="39"/>
      <c r="C904" s="39"/>
      <c r="D904" s="39"/>
      <c r="E904" s="39"/>
      <c r="F904" s="39"/>
      <c r="G904" s="39"/>
    </row>
    <row r="905" spans="1:7">
      <c r="A905" s="40"/>
      <c r="B905" s="40"/>
      <c r="C905" s="40"/>
      <c r="D905" s="40"/>
      <c r="E905" s="40"/>
      <c r="F905" s="40"/>
      <c r="G905" s="40"/>
    </row>
    <row r="906" spans="1:7">
      <c r="A906" s="39"/>
      <c r="B906" s="39"/>
      <c r="C906" s="39"/>
      <c r="D906" s="39"/>
      <c r="E906" s="39"/>
      <c r="F906" s="39"/>
      <c r="G906" s="39"/>
    </row>
    <row r="907" spans="1:7">
      <c r="A907" s="40"/>
      <c r="B907" s="40"/>
      <c r="C907" s="40"/>
      <c r="D907" s="40"/>
      <c r="E907" s="40"/>
      <c r="F907" s="40"/>
      <c r="G907" s="40"/>
    </row>
    <row r="908" spans="1:7">
      <c r="A908" s="39"/>
      <c r="B908" s="39"/>
      <c r="C908" s="39"/>
      <c r="D908" s="39"/>
      <c r="E908" s="39"/>
      <c r="F908" s="39"/>
      <c r="G908" s="39"/>
    </row>
    <row r="909" spans="1:7">
      <c r="A909" s="40"/>
      <c r="B909" s="40"/>
      <c r="C909" s="40"/>
      <c r="D909" s="40"/>
      <c r="E909" s="40"/>
      <c r="F909" s="40"/>
      <c r="G909" s="40"/>
    </row>
    <row r="910" spans="1:7">
      <c r="A910" s="39"/>
      <c r="B910" s="39"/>
      <c r="C910" s="39"/>
      <c r="D910" s="39"/>
      <c r="E910" s="39"/>
      <c r="F910" s="39"/>
      <c r="G910" s="39"/>
    </row>
    <row r="911" spans="1:7">
      <c r="A911" s="40"/>
      <c r="B911" s="40"/>
      <c r="C911" s="40"/>
      <c r="D911" s="40"/>
      <c r="E911" s="40"/>
      <c r="F911" s="40"/>
      <c r="G911" s="40"/>
    </row>
    <row r="912" spans="1:7">
      <c r="A912" s="39"/>
      <c r="B912" s="39"/>
      <c r="C912" s="39"/>
      <c r="D912" s="39"/>
      <c r="E912" s="39"/>
      <c r="F912" s="39"/>
      <c r="G912" s="39"/>
    </row>
    <row r="913" spans="1:7">
      <c r="A913" s="40"/>
      <c r="B913" s="40"/>
      <c r="C913" s="40"/>
      <c r="D913" s="40"/>
      <c r="E913" s="40"/>
      <c r="F913" s="40"/>
      <c r="G913" s="40"/>
    </row>
    <row r="914" spans="1:7">
      <c r="A914" s="39"/>
      <c r="B914" s="39"/>
      <c r="C914" s="39"/>
      <c r="D914" s="39"/>
      <c r="E914" s="39"/>
      <c r="F914" s="39"/>
      <c r="G914" s="39"/>
    </row>
    <row r="915" spans="1:7">
      <c r="A915" s="40"/>
      <c r="B915" s="40"/>
      <c r="C915" s="40"/>
      <c r="D915" s="40"/>
      <c r="E915" s="40"/>
      <c r="F915" s="40"/>
      <c r="G915" s="40"/>
    </row>
    <row r="916" spans="1:7">
      <c r="A916" s="39"/>
      <c r="B916" s="39"/>
      <c r="C916" s="39"/>
      <c r="D916" s="39"/>
      <c r="E916" s="39"/>
      <c r="F916" s="39"/>
      <c r="G916" s="39"/>
    </row>
    <row r="917" spans="1:7">
      <c r="A917" s="40"/>
      <c r="B917" s="40"/>
      <c r="C917" s="40"/>
      <c r="D917" s="40"/>
      <c r="E917" s="40"/>
      <c r="F917" s="40"/>
      <c r="G917" s="40"/>
    </row>
    <row r="918" spans="1:7">
      <c r="A918" s="39"/>
      <c r="B918" s="39"/>
      <c r="C918" s="39"/>
      <c r="D918" s="39"/>
      <c r="E918" s="39"/>
      <c r="F918" s="39"/>
      <c r="G918" s="39"/>
    </row>
    <row r="919" spans="1:7">
      <c r="A919" s="40"/>
      <c r="B919" s="40"/>
      <c r="C919" s="40"/>
      <c r="D919" s="40"/>
      <c r="E919" s="40"/>
      <c r="F919" s="40"/>
      <c r="G919" s="40"/>
    </row>
    <row r="920" spans="1:7">
      <c r="A920" s="39"/>
      <c r="B920" s="39"/>
      <c r="C920" s="39"/>
      <c r="D920" s="39"/>
      <c r="E920" s="39"/>
      <c r="F920" s="39"/>
      <c r="G920" s="39"/>
    </row>
    <row r="921" spans="1:7">
      <c r="A921" s="40"/>
      <c r="B921" s="40"/>
      <c r="C921" s="40"/>
      <c r="D921" s="40"/>
      <c r="E921" s="40"/>
      <c r="F921" s="40"/>
      <c r="G921" s="40"/>
    </row>
    <row r="922" spans="1:7">
      <c r="A922" s="39"/>
      <c r="B922" s="39"/>
      <c r="C922" s="39"/>
      <c r="D922" s="39"/>
      <c r="E922" s="39"/>
      <c r="F922" s="39"/>
      <c r="G922" s="39"/>
    </row>
    <row r="923" spans="1:7">
      <c r="A923" s="40"/>
      <c r="B923" s="40"/>
      <c r="C923" s="40"/>
      <c r="D923" s="40"/>
      <c r="E923" s="40"/>
      <c r="F923" s="40"/>
      <c r="G923" s="40"/>
    </row>
    <row r="924" spans="1:7">
      <c r="A924" s="39"/>
      <c r="B924" s="39"/>
      <c r="C924" s="39"/>
      <c r="D924" s="39"/>
      <c r="E924" s="39"/>
      <c r="F924" s="39"/>
      <c r="G924" s="39"/>
    </row>
    <row r="925" spans="1:7">
      <c r="A925" s="40"/>
      <c r="B925" s="40"/>
      <c r="C925" s="40"/>
      <c r="D925" s="40"/>
      <c r="E925" s="40"/>
      <c r="F925" s="40"/>
      <c r="G925" s="40"/>
    </row>
    <row r="926" spans="1:7">
      <c r="A926" s="39"/>
      <c r="B926" s="39"/>
      <c r="C926" s="39"/>
      <c r="D926" s="39"/>
      <c r="E926" s="39"/>
      <c r="F926" s="39"/>
      <c r="G926" s="39"/>
    </row>
    <row r="927" spans="1:7">
      <c r="A927" s="40"/>
      <c r="B927" s="40"/>
      <c r="C927" s="40"/>
      <c r="D927" s="40"/>
      <c r="E927" s="40"/>
      <c r="F927" s="40"/>
      <c r="G927" s="40"/>
    </row>
    <row r="928" spans="1:7">
      <c r="A928" s="39"/>
      <c r="B928" s="39"/>
      <c r="C928" s="39"/>
      <c r="D928" s="39"/>
      <c r="E928" s="39"/>
      <c r="F928" s="39"/>
      <c r="G928" s="39"/>
    </row>
    <row r="929" spans="1:7">
      <c r="A929" s="40"/>
      <c r="B929" s="40"/>
      <c r="C929" s="40"/>
      <c r="D929" s="40"/>
      <c r="E929" s="40"/>
      <c r="F929" s="40"/>
      <c r="G929" s="40"/>
    </row>
    <row r="930" spans="1:7">
      <c r="A930" s="39"/>
      <c r="B930" s="39"/>
      <c r="C930" s="39"/>
      <c r="D930" s="39"/>
      <c r="E930" s="39"/>
      <c r="F930" s="39"/>
      <c r="G930" s="39"/>
    </row>
    <row r="931" spans="1:7">
      <c r="A931" s="40"/>
      <c r="B931" s="40"/>
      <c r="C931" s="40"/>
      <c r="D931" s="40"/>
      <c r="E931" s="40"/>
      <c r="F931" s="40"/>
      <c r="G931" s="40"/>
    </row>
    <row r="932" spans="1:7">
      <c r="A932" s="39"/>
      <c r="B932" s="39"/>
      <c r="C932" s="39"/>
      <c r="D932" s="39"/>
      <c r="E932" s="39"/>
      <c r="F932" s="39"/>
      <c r="G932" s="39"/>
    </row>
    <row r="933" spans="1:7">
      <c r="A933" s="40"/>
      <c r="B933" s="40"/>
      <c r="C933" s="40"/>
      <c r="D933" s="40"/>
      <c r="E933" s="40"/>
      <c r="F933" s="40"/>
      <c r="G933" s="40"/>
    </row>
    <row r="934" spans="1:7">
      <c r="A934" s="39"/>
      <c r="B934" s="39"/>
      <c r="C934" s="39"/>
      <c r="D934" s="39"/>
      <c r="E934" s="39"/>
      <c r="F934" s="39"/>
      <c r="G934" s="39"/>
    </row>
    <row r="935" spans="1:7">
      <c r="A935" s="40"/>
      <c r="B935" s="40"/>
      <c r="C935" s="40"/>
      <c r="D935" s="40"/>
      <c r="E935" s="40"/>
      <c r="F935" s="40"/>
      <c r="G935" s="40"/>
    </row>
    <row r="936" spans="1:7">
      <c r="A936" s="39"/>
      <c r="B936" s="39"/>
      <c r="C936" s="39"/>
      <c r="D936" s="39"/>
      <c r="E936" s="39"/>
      <c r="F936" s="39"/>
      <c r="G936" s="39"/>
    </row>
    <row r="937" spans="1:7">
      <c r="A937" s="40"/>
      <c r="B937" s="40"/>
      <c r="C937" s="40"/>
      <c r="D937" s="40"/>
      <c r="E937" s="40"/>
      <c r="F937" s="40"/>
      <c r="G937" s="40"/>
    </row>
    <row r="938" spans="1:7">
      <c r="A938" s="39"/>
      <c r="B938" s="39"/>
      <c r="C938" s="39"/>
      <c r="D938" s="39"/>
      <c r="E938" s="39"/>
      <c r="F938" s="39"/>
      <c r="G938" s="39"/>
    </row>
    <row r="939" spans="1:7">
      <c r="A939" s="40"/>
      <c r="B939" s="40"/>
      <c r="C939" s="40"/>
      <c r="D939" s="40"/>
      <c r="E939" s="40"/>
      <c r="F939" s="40"/>
      <c r="G939" s="40"/>
    </row>
    <row r="940" spans="1:7">
      <c r="A940" s="39"/>
      <c r="B940" s="39"/>
      <c r="C940" s="39"/>
      <c r="D940" s="39"/>
      <c r="E940" s="39"/>
      <c r="F940" s="39"/>
      <c r="G940" s="39"/>
    </row>
    <row r="941" spans="1:7">
      <c r="A941" s="40"/>
      <c r="B941" s="40"/>
      <c r="C941" s="40"/>
      <c r="D941" s="40"/>
      <c r="E941" s="40"/>
      <c r="F941" s="40"/>
      <c r="G941" s="40"/>
    </row>
    <row r="942" spans="1:7">
      <c r="A942" s="39"/>
      <c r="B942" s="39"/>
      <c r="C942" s="39"/>
      <c r="D942" s="39"/>
      <c r="E942" s="39"/>
      <c r="F942" s="39"/>
      <c r="G942" s="39"/>
    </row>
    <row r="943" spans="1:7">
      <c r="A943" s="40"/>
      <c r="B943" s="40"/>
      <c r="C943" s="40"/>
      <c r="D943" s="40"/>
      <c r="E943" s="40"/>
      <c r="F943" s="40"/>
      <c r="G943" s="40"/>
    </row>
    <row r="944" spans="1:7">
      <c r="A944" s="39"/>
      <c r="B944" s="39"/>
      <c r="C944" s="39"/>
      <c r="D944" s="39"/>
      <c r="E944" s="39"/>
      <c r="F944" s="39"/>
      <c r="G944" s="39"/>
    </row>
    <row r="945" spans="1:7">
      <c r="A945" s="40"/>
      <c r="B945" s="40"/>
      <c r="C945" s="40"/>
      <c r="D945" s="40"/>
      <c r="E945" s="40"/>
      <c r="F945" s="40"/>
      <c r="G945" s="40"/>
    </row>
    <row r="946" spans="1:7">
      <c r="A946" s="39"/>
      <c r="B946" s="39"/>
      <c r="C946" s="39"/>
      <c r="D946" s="39"/>
      <c r="E946" s="39"/>
      <c r="F946" s="39"/>
      <c r="G946" s="39"/>
    </row>
    <row r="947" spans="1:7">
      <c r="A947" s="40"/>
      <c r="B947" s="40"/>
      <c r="C947" s="40"/>
      <c r="D947" s="40"/>
      <c r="E947" s="40"/>
      <c r="F947" s="40"/>
      <c r="G947" s="40"/>
    </row>
    <row r="948" spans="1:7">
      <c r="A948" s="39"/>
      <c r="B948" s="39"/>
      <c r="C948" s="39"/>
      <c r="D948" s="39"/>
      <c r="E948" s="39"/>
      <c r="F948" s="39"/>
      <c r="G948" s="39"/>
    </row>
    <row r="949" spans="1:7">
      <c r="A949" s="40"/>
      <c r="B949" s="40"/>
      <c r="C949" s="40"/>
      <c r="D949" s="40"/>
      <c r="E949" s="40"/>
      <c r="F949" s="40"/>
      <c r="G949" s="40"/>
    </row>
    <row r="950" spans="1:7">
      <c r="A950" s="39"/>
      <c r="B950" s="39"/>
      <c r="C950" s="39"/>
      <c r="D950" s="39"/>
      <c r="E950" s="39"/>
      <c r="F950" s="39"/>
      <c r="G950" s="39"/>
    </row>
    <row r="951" spans="1:7">
      <c r="A951" s="40"/>
      <c r="B951" s="40"/>
      <c r="C951" s="40"/>
      <c r="D951" s="40"/>
      <c r="E951" s="40"/>
      <c r="F951" s="40"/>
      <c r="G951" s="40"/>
    </row>
    <row r="952" spans="1:7">
      <c r="A952" s="39"/>
      <c r="B952" s="39"/>
      <c r="C952" s="39"/>
      <c r="D952" s="39"/>
      <c r="E952" s="39"/>
      <c r="F952" s="39"/>
      <c r="G952" s="39"/>
    </row>
    <row r="953" spans="1:7">
      <c r="A953" s="40"/>
      <c r="B953" s="40"/>
      <c r="C953" s="40"/>
      <c r="D953" s="40"/>
      <c r="E953" s="40"/>
      <c r="F953" s="40"/>
      <c r="G953" s="40"/>
    </row>
    <row r="954" spans="1:7">
      <c r="A954" s="39"/>
      <c r="B954" s="39"/>
      <c r="C954" s="39"/>
      <c r="D954" s="39"/>
      <c r="E954" s="39"/>
      <c r="F954" s="39"/>
      <c r="G954" s="39"/>
    </row>
    <row r="955" spans="1:7">
      <c r="A955" s="40"/>
      <c r="B955" s="40"/>
      <c r="C955" s="40"/>
      <c r="D955" s="40"/>
      <c r="E955" s="40"/>
      <c r="F955" s="40"/>
      <c r="G955" s="40"/>
    </row>
    <row r="956" spans="1:7">
      <c r="A956" s="39"/>
      <c r="B956" s="39"/>
      <c r="C956" s="39"/>
      <c r="D956" s="39"/>
      <c r="E956" s="39"/>
      <c r="F956" s="39"/>
      <c r="G956" s="39"/>
    </row>
    <row r="957" spans="1:7">
      <c r="A957" s="40"/>
      <c r="B957" s="40"/>
      <c r="C957" s="40"/>
      <c r="D957" s="40"/>
      <c r="E957" s="40"/>
      <c r="F957" s="40"/>
      <c r="G957" s="40"/>
    </row>
    <row r="958" spans="1:7">
      <c r="A958" s="39"/>
      <c r="B958" s="39"/>
      <c r="C958" s="39"/>
      <c r="D958" s="39"/>
      <c r="E958" s="39"/>
      <c r="F958" s="39"/>
      <c r="G958" s="39"/>
    </row>
    <row r="959" spans="1:7">
      <c r="A959" s="40"/>
      <c r="B959" s="40"/>
      <c r="C959" s="40"/>
      <c r="D959" s="40"/>
      <c r="E959" s="40"/>
      <c r="F959" s="40"/>
      <c r="G959" s="40"/>
    </row>
    <row r="960" spans="1:7">
      <c r="A960" s="39"/>
      <c r="B960" s="39"/>
      <c r="C960" s="39"/>
      <c r="D960" s="39"/>
      <c r="E960" s="39"/>
      <c r="F960" s="39"/>
      <c r="G960" s="39"/>
    </row>
    <row r="961" spans="1:7">
      <c r="A961" s="40"/>
      <c r="B961" s="40"/>
      <c r="C961" s="40"/>
      <c r="D961" s="40"/>
      <c r="E961" s="40"/>
      <c r="F961" s="40"/>
      <c r="G961" s="40"/>
    </row>
    <row r="962" spans="1:7">
      <c r="A962" s="39"/>
      <c r="B962" s="39"/>
      <c r="C962" s="39"/>
      <c r="D962" s="39"/>
      <c r="E962" s="39"/>
      <c r="F962" s="39"/>
      <c r="G962" s="39"/>
    </row>
    <row r="963" spans="1:7">
      <c r="A963" s="40"/>
      <c r="B963" s="40"/>
      <c r="C963" s="40"/>
      <c r="D963" s="40"/>
      <c r="E963" s="40"/>
      <c r="F963" s="40"/>
      <c r="G963" s="40"/>
    </row>
    <row r="964" spans="1:7">
      <c r="A964" s="39"/>
      <c r="B964" s="39"/>
      <c r="C964" s="39"/>
      <c r="D964" s="39"/>
      <c r="E964" s="39"/>
      <c r="F964" s="39"/>
      <c r="G964" s="39"/>
    </row>
    <row r="965" spans="1:7">
      <c r="A965" s="40"/>
      <c r="B965" s="40"/>
      <c r="C965" s="40"/>
      <c r="D965" s="40"/>
      <c r="E965" s="40"/>
      <c r="F965" s="40"/>
      <c r="G965" s="40"/>
    </row>
    <row r="966" spans="1:7">
      <c r="A966" s="39"/>
      <c r="B966" s="39"/>
      <c r="C966" s="39"/>
      <c r="D966" s="39"/>
      <c r="E966" s="39"/>
      <c r="F966" s="39"/>
      <c r="G966" s="39"/>
    </row>
    <row r="967" spans="1:7">
      <c r="A967" s="40"/>
      <c r="B967" s="40"/>
      <c r="C967" s="40"/>
      <c r="D967" s="40"/>
      <c r="E967" s="40"/>
      <c r="F967" s="40"/>
      <c r="G967" s="40"/>
    </row>
    <row r="968" spans="1:7">
      <c r="A968" s="39"/>
      <c r="B968" s="39"/>
      <c r="C968" s="39"/>
      <c r="D968" s="39"/>
      <c r="E968" s="39"/>
      <c r="F968" s="39"/>
      <c r="G968" s="39"/>
    </row>
    <row r="969" spans="1:7">
      <c r="A969" s="40"/>
      <c r="B969" s="40"/>
      <c r="C969" s="40"/>
      <c r="D969" s="40"/>
      <c r="E969" s="40"/>
      <c r="F969" s="40"/>
      <c r="G969" s="40"/>
    </row>
    <row r="970" spans="1:7">
      <c r="A970" s="39"/>
      <c r="B970" s="39"/>
      <c r="C970" s="39"/>
      <c r="D970" s="39"/>
      <c r="E970" s="39"/>
      <c r="F970" s="39"/>
      <c r="G970" s="39"/>
    </row>
    <row r="971" spans="1:7">
      <c r="A971" s="40"/>
      <c r="B971" s="40"/>
      <c r="C971" s="40"/>
      <c r="D971" s="40"/>
      <c r="E971" s="40"/>
      <c r="F971" s="40"/>
      <c r="G971" s="40"/>
    </row>
    <row r="972" spans="1:7">
      <c r="A972" s="39"/>
      <c r="B972" s="39"/>
      <c r="C972" s="39"/>
      <c r="D972" s="39"/>
      <c r="E972" s="39"/>
      <c r="F972" s="39"/>
      <c r="G972" s="39"/>
    </row>
    <row r="973" spans="1:7">
      <c r="A973" s="40"/>
      <c r="B973" s="40"/>
      <c r="C973" s="40"/>
      <c r="D973" s="40"/>
      <c r="E973" s="40"/>
      <c r="F973" s="40"/>
      <c r="G973" s="40"/>
    </row>
    <row r="974" spans="1:7">
      <c r="A974" s="39"/>
      <c r="B974" s="39"/>
      <c r="C974" s="39"/>
      <c r="D974" s="39"/>
      <c r="E974" s="39"/>
      <c r="F974" s="39"/>
      <c r="G974" s="39"/>
    </row>
    <row r="975" spans="1:7">
      <c r="A975" s="40"/>
      <c r="B975" s="40"/>
      <c r="C975" s="40"/>
      <c r="D975" s="40"/>
      <c r="E975" s="40"/>
      <c r="F975" s="40"/>
      <c r="G975" s="40"/>
    </row>
    <row r="976" spans="1:7">
      <c r="A976" s="39"/>
      <c r="B976" s="39"/>
      <c r="C976" s="39"/>
      <c r="D976" s="39"/>
      <c r="E976" s="39"/>
      <c r="F976" s="39"/>
      <c r="G976" s="39"/>
    </row>
    <row r="977" spans="1:7">
      <c r="A977" s="40"/>
      <c r="B977" s="40"/>
      <c r="C977" s="40"/>
      <c r="D977" s="40"/>
      <c r="E977" s="40"/>
      <c r="F977" s="40"/>
      <c r="G977" s="40"/>
    </row>
    <row r="978" spans="1:7">
      <c r="A978" s="39"/>
      <c r="B978" s="39"/>
      <c r="C978" s="39"/>
      <c r="D978" s="39"/>
      <c r="E978" s="39"/>
      <c r="F978" s="39"/>
      <c r="G978" s="39"/>
    </row>
    <row r="979" spans="1:7">
      <c r="A979" s="40"/>
      <c r="B979" s="40"/>
      <c r="C979" s="40"/>
      <c r="D979" s="40"/>
      <c r="E979" s="40"/>
      <c r="F979" s="40"/>
      <c r="G979" s="40"/>
    </row>
    <row r="980" spans="1:7">
      <c r="A980" s="39"/>
      <c r="B980" s="39"/>
      <c r="C980" s="39"/>
      <c r="D980" s="39"/>
      <c r="E980" s="39"/>
      <c r="F980" s="39"/>
      <c r="G980" s="39"/>
    </row>
    <row r="981" spans="1:7">
      <c r="A981" s="40"/>
      <c r="B981" s="40"/>
      <c r="C981" s="40"/>
      <c r="D981" s="40"/>
      <c r="E981" s="40"/>
      <c r="F981" s="40"/>
      <c r="G981" s="40"/>
    </row>
    <row r="982" spans="1:7">
      <c r="A982" s="39"/>
      <c r="B982" s="39"/>
      <c r="C982" s="39"/>
      <c r="D982" s="39"/>
      <c r="E982" s="39"/>
      <c r="F982" s="39"/>
      <c r="G982" s="39"/>
    </row>
    <row r="983" spans="1:7">
      <c r="A983" s="40"/>
      <c r="B983" s="40"/>
      <c r="C983" s="40"/>
      <c r="D983" s="40"/>
      <c r="E983" s="40"/>
      <c r="F983" s="40"/>
      <c r="G983" s="40"/>
    </row>
    <row r="984" spans="1:7">
      <c r="A984" s="39"/>
      <c r="B984" s="39"/>
      <c r="C984" s="39"/>
      <c r="D984" s="39"/>
      <c r="E984" s="39"/>
      <c r="F984" s="39"/>
      <c r="G984" s="39"/>
    </row>
    <row r="985" spans="1:7">
      <c r="A985" s="40"/>
      <c r="B985" s="40"/>
      <c r="C985" s="40"/>
      <c r="D985" s="40"/>
      <c r="E985" s="40"/>
      <c r="F985" s="40"/>
      <c r="G985" s="40"/>
    </row>
    <row r="986" spans="1:7">
      <c r="A986" s="39"/>
      <c r="B986" s="39"/>
      <c r="C986" s="39"/>
      <c r="D986" s="39"/>
      <c r="E986" s="39"/>
      <c r="F986" s="39"/>
      <c r="G986" s="39"/>
    </row>
    <row r="987" spans="1:7">
      <c r="A987" s="40"/>
      <c r="B987" s="40"/>
      <c r="C987" s="40"/>
      <c r="D987" s="40"/>
      <c r="E987" s="40"/>
      <c r="F987" s="40"/>
      <c r="G987" s="40"/>
    </row>
    <row r="988" spans="1:7">
      <c r="A988" s="39"/>
      <c r="B988" s="39"/>
      <c r="C988" s="39"/>
      <c r="D988" s="39"/>
      <c r="E988" s="39"/>
      <c r="F988" s="39"/>
      <c r="G988" s="39"/>
    </row>
    <row r="989" spans="1:7">
      <c r="A989" s="40"/>
      <c r="B989" s="40"/>
      <c r="C989" s="40"/>
      <c r="D989" s="40"/>
      <c r="E989" s="40"/>
      <c r="F989" s="40"/>
      <c r="G989" s="40"/>
    </row>
    <row r="990" spans="1:7">
      <c r="A990" s="39"/>
      <c r="B990" s="39"/>
      <c r="C990" s="39"/>
      <c r="D990" s="39"/>
      <c r="E990" s="39"/>
      <c r="F990" s="39"/>
      <c r="G990" s="39"/>
    </row>
    <row r="991" spans="1:7">
      <c r="A991" s="40"/>
      <c r="B991" s="40"/>
      <c r="C991" s="40"/>
      <c r="D991" s="40"/>
      <c r="E991" s="40"/>
      <c r="F991" s="40"/>
      <c r="G991" s="40"/>
    </row>
    <row r="992" spans="1:7">
      <c r="A992" s="39"/>
      <c r="B992" s="39"/>
      <c r="C992" s="39"/>
      <c r="D992" s="39"/>
      <c r="E992" s="39"/>
      <c r="F992" s="39"/>
      <c r="G992" s="39"/>
    </row>
    <row r="993" spans="1:7">
      <c r="A993" s="40"/>
      <c r="B993" s="40"/>
      <c r="C993" s="40"/>
      <c r="D993" s="40"/>
      <c r="E993" s="40"/>
      <c r="F993" s="40"/>
      <c r="G993" s="40"/>
    </row>
    <row r="994" spans="1:7">
      <c r="A994" s="39"/>
      <c r="B994" s="39"/>
      <c r="C994" s="39"/>
      <c r="D994" s="39"/>
      <c r="E994" s="39"/>
      <c r="F994" s="39"/>
      <c r="G994" s="39"/>
    </row>
    <row r="995" spans="1:7">
      <c r="A995" s="40"/>
      <c r="B995" s="40"/>
      <c r="C995" s="40"/>
      <c r="D995" s="40"/>
      <c r="E995" s="40"/>
      <c r="F995" s="40"/>
      <c r="G995" s="40"/>
    </row>
    <row r="996" spans="1:7">
      <c r="A996" s="39"/>
      <c r="B996" s="39"/>
      <c r="C996" s="39"/>
      <c r="D996" s="39"/>
      <c r="E996" s="39"/>
      <c r="F996" s="39"/>
      <c r="G996" s="39"/>
    </row>
    <row r="997" spans="1:7">
      <c r="A997" s="40"/>
      <c r="B997" s="40"/>
      <c r="C997" s="40"/>
      <c r="D997" s="40"/>
      <c r="E997" s="40"/>
      <c r="F997" s="40"/>
      <c r="G997" s="40"/>
    </row>
    <row r="998" spans="1:7">
      <c r="A998" s="39"/>
      <c r="B998" s="39"/>
      <c r="C998" s="39"/>
      <c r="D998" s="39"/>
      <c r="E998" s="39"/>
      <c r="F998" s="39"/>
      <c r="G998" s="39"/>
    </row>
    <row r="999" spans="1:7">
      <c r="A999" s="40"/>
      <c r="B999" s="40"/>
      <c r="C999" s="40"/>
      <c r="D999" s="40"/>
      <c r="E999" s="40"/>
      <c r="F999" s="40"/>
      <c r="G999" s="40"/>
    </row>
    <row r="1000" spans="1:7">
      <c r="A1000" s="39"/>
      <c r="B1000" s="39"/>
      <c r="C1000" s="39"/>
      <c r="D1000" s="39"/>
      <c r="E1000" s="39"/>
      <c r="F1000" s="39"/>
      <c r="G1000" s="39"/>
    </row>
    <row r="1001" spans="1:7">
      <c r="A1001" s="40"/>
      <c r="B1001" s="40"/>
      <c r="C1001" s="40"/>
      <c r="D1001" s="40"/>
      <c r="E1001" s="40"/>
      <c r="F1001" s="40"/>
      <c r="G1001" s="40"/>
    </row>
    <row r="1002" spans="1:7">
      <c r="A1002" s="39"/>
      <c r="B1002" s="39"/>
      <c r="C1002" s="39"/>
      <c r="D1002" s="39"/>
      <c r="E1002" s="39"/>
      <c r="F1002" s="39"/>
      <c r="G1002" s="39"/>
    </row>
    <row r="1003" spans="1:7">
      <c r="A1003" s="40"/>
      <c r="B1003" s="40"/>
      <c r="C1003" s="40"/>
      <c r="D1003" s="40"/>
      <c r="E1003" s="40"/>
      <c r="F1003" s="40"/>
      <c r="G1003" s="40"/>
    </row>
    <row r="1004" spans="1:7">
      <c r="A1004" s="39"/>
      <c r="B1004" s="39"/>
      <c r="C1004" s="39"/>
      <c r="D1004" s="39"/>
      <c r="E1004" s="39"/>
      <c r="F1004" s="39"/>
      <c r="G1004" s="39"/>
    </row>
    <row r="1005" spans="1:7">
      <c r="A1005" s="40"/>
      <c r="B1005" s="40"/>
      <c r="C1005" s="40"/>
      <c r="D1005" s="40"/>
      <c r="E1005" s="40"/>
      <c r="F1005" s="40"/>
      <c r="G1005" s="40"/>
    </row>
    <row r="1006" spans="1:7">
      <c r="A1006" s="39"/>
      <c r="B1006" s="39"/>
      <c r="C1006" s="39"/>
      <c r="D1006" s="39"/>
      <c r="E1006" s="39"/>
      <c r="F1006" s="39"/>
      <c r="G1006" s="39"/>
    </row>
    <row r="1007" spans="1:7">
      <c r="A1007" s="40"/>
      <c r="B1007" s="40"/>
      <c r="C1007" s="40"/>
      <c r="D1007" s="40"/>
      <c r="E1007" s="40"/>
      <c r="F1007" s="40"/>
      <c r="G1007" s="40"/>
    </row>
    <row r="1008" spans="1:7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0AC91-9557-F046-B2D0-E25F101C8082}">
  <dimension ref="A1:L1008"/>
  <sheetViews>
    <sheetView workbookViewId="0"/>
  </sheetViews>
  <sheetFormatPr defaultColWidth="10.85546875" defaultRowHeight="15"/>
  <cols>
    <col min="1" max="1" width="11.85546875" style="37" bestFit="1" customWidth="1"/>
    <col min="2" max="16384" width="10.85546875" style="37"/>
  </cols>
  <sheetData>
    <row r="1" spans="1:12">
      <c r="A1" s="36" t="s">
        <v>119</v>
      </c>
      <c r="B1" s="36" t="s">
        <v>164</v>
      </c>
      <c r="G1" s="38" t="s">
        <v>125</v>
      </c>
    </row>
    <row r="3" spans="1:12">
      <c r="A3" s="38" t="s">
        <v>120</v>
      </c>
    </row>
    <row r="4" spans="1:12">
      <c r="A4" s="39" t="s">
        <v>86</v>
      </c>
      <c r="B4" s="39" t="s">
        <v>126</v>
      </c>
      <c r="C4" s="39" t="s">
        <v>127</v>
      </c>
      <c r="D4" s="39" t="s">
        <v>128</v>
      </c>
      <c r="E4" s="39"/>
      <c r="F4" s="39"/>
      <c r="G4" s="39"/>
      <c r="H4" s="39"/>
      <c r="I4" s="39"/>
      <c r="J4" s="39"/>
      <c r="K4" s="39"/>
      <c r="L4" s="39"/>
    </row>
    <row r="5" spans="1:12">
      <c r="A5" s="38" t="s">
        <v>121</v>
      </c>
    </row>
    <row r="6" spans="1:12">
      <c r="A6" s="41" t="s">
        <v>122</v>
      </c>
      <c r="B6" s="40" t="s">
        <v>123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>
      <c r="A8" s="36" t="s">
        <v>86</v>
      </c>
      <c r="B8" s="36" t="s">
        <v>126</v>
      </c>
      <c r="C8" s="36" t="s">
        <v>127</v>
      </c>
      <c r="D8" s="36" t="s">
        <v>128</v>
      </c>
      <c r="E8" s="36" t="s">
        <v>164</v>
      </c>
      <c r="F8" s="36" t="s">
        <v>122</v>
      </c>
      <c r="G8" s="36" t="s">
        <v>123</v>
      </c>
      <c r="J8" s="38" t="s">
        <v>129</v>
      </c>
    </row>
    <row r="9" spans="1:12">
      <c r="A9" s="40">
        <v>2016</v>
      </c>
      <c r="B9" s="40" t="s">
        <v>165</v>
      </c>
      <c r="C9" s="40" t="s">
        <v>43</v>
      </c>
      <c r="D9" s="40" t="s">
        <v>117</v>
      </c>
      <c r="E9" s="40">
        <v>0.26529999999999998</v>
      </c>
      <c r="F9" s="40"/>
      <c r="G9" s="40">
        <v>16.14990234375</v>
      </c>
      <c r="H9" s="37">
        <f>E16/E9</f>
        <v>1.2487749717301169</v>
      </c>
    </row>
    <row r="10" spans="1:12">
      <c r="A10" s="39">
        <v>2016</v>
      </c>
      <c r="B10" s="39" t="s">
        <v>165</v>
      </c>
      <c r="C10" s="39" t="s">
        <v>43</v>
      </c>
      <c r="D10" s="39" t="s">
        <v>133</v>
      </c>
      <c r="E10" s="39">
        <v>0.33339999999999997</v>
      </c>
      <c r="F10" s="39"/>
      <c r="G10" s="39">
        <v>55.40771484375</v>
      </c>
      <c r="H10" s="37">
        <f t="shared" ref="H10:H15" si="0">E17/E10</f>
        <v>1.1190761847630475</v>
      </c>
    </row>
    <row r="11" spans="1:12">
      <c r="A11" s="40">
        <v>2016</v>
      </c>
      <c r="B11" s="40" t="s">
        <v>165</v>
      </c>
      <c r="C11" s="40" t="s">
        <v>43</v>
      </c>
      <c r="D11" s="40" t="s">
        <v>134</v>
      </c>
      <c r="E11" s="40">
        <v>0.54479999999999995</v>
      </c>
      <c r="F11" s="40"/>
      <c r="G11" s="40">
        <v>110.3271484375</v>
      </c>
      <c r="H11" s="37">
        <f t="shared" si="0"/>
        <v>0.45925110132158592</v>
      </c>
    </row>
    <row r="12" spans="1:12">
      <c r="A12" s="39">
        <v>2016</v>
      </c>
      <c r="B12" s="39" t="s">
        <v>165</v>
      </c>
      <c r="C12" s="39" t="s">
        <v>43</v>
      </c>
      <c r="D12" s="39" t="s">
        <v>135</v>
      </c>
      <c r="E12" s="39">
        <v>0.54359999999999997</v>
      </c>
      <c r="F12" s="39"/>
      <c r="G12" s="39">
        <v>113.7939453125</v>
      </c>
      <c r="H12" s="37">
        <f t="shared" si="0"/>
        <v>0.58498896247240617</v>
      </c>
    </row>
    <row r="13" spans="1:12">
      <c r="A13" s="40">
        <v>2016</v>
      </c>
      <c r="B13" s="40" t="s">
        <v>165</v>
      </c>
      <c r="C13" s="40" t="s">
        <v>43</v>
      </c>
      <c r="D13" s="40" t="s">
        <v>136</v>
      </c>
      <c r="E13" s="40">
        <v>0.64659999999999995</v>
      </c>
      <c r="F13" s="40"/>
      <c r="G13" s="40">
        <v>138.0859375</v>
      </c>
      <c r="H13" s="37">
        <f t="shared" si="0"/>
        <v>0.74992267244045785</v>
      </c>
    </row>
    <row r="14" spans="1:12">
      <c r="A14" s="39">
        <v>2016</v>
      </c>
      <c r="B14" s="39" t="s">
        <v>165</v>
      </c>
      <c r="C14" s="39" t="s">
        <v>43</v>
      </c>
      <c r="D14" s="39" t="s">
        <v>137</v>
      </c>
      <c r="E14" s="39">
        <v>0.71630000000000005</v>
      </c>
      <c r="F14" s="39"/>
      <c r="G14" s="39">
        <v>147.802734375</v>
      </c>
      <c r="H14" s="37">
        <f t="shared" si="0"/>
        <v>0.88063660477453576</v>
      </c>
    </row>
    <row r="15" spans="1:12">
      <c r="A15" s="40">
        <v>2016</v>
      </c>
      <c r="B15" s="40" t="s">
        <v>165</v>
      </c>
      <c r="C15" s="40" t="s">
        <v>43</v>
      </c>
      <c r="D15" s="40" t="s">
        <v>138</v>
      </c>
      <c r="E15" s="40">
        <v>0.6633</v>
      </c>
      <c r="F15" s="40"/>
      <c r="G15" s="40">
        <v>88.671875</v>
      </c>
      <c r="H15" s="37">
        <f t="shared" si="0"/>
        <v>1.0462837328508969</v>
      </c>
    </row>
    <row r="16" spans="1:12">
      <c r="A16" s="40">
        <v>2016</v>
      </c>
      <c r="B16" s="40" t="s">
        <v>165</v>
      </c>
      <c r="C16" s="40" t="s">
        <v>44</v>
      </c>
      <c r="D16" s="40" t="s">
        <v>117</v>
      </c>
      <c r="E16" s="40">
        <v>0.33129999999999998</v>
      </c>
      <c r="F16" s="40"/>
      <c r="G16" s="40">
        <v>6.25762939453125</v>
      </c>
    </row>
    <row r="17" spans="1:11">
      <c r="A17" s="39">
        <v>2016</v>
      </c>
      <c r="B17" s="39" t="s">
        <v>165</v>
      </c>
      <c r="C17" s="39" t="s">
        <v>44</v>
      </c>
      <c r="D17" s="39" t="s">
        <v>133</v>
      </c>
      <c r="E17" s="39">
        <v>0.37309999999999999</v>
      </c>
      <c r="F17" s="39"/>
      <c r="G17" s="39">
        <v>7.65838623046875</v>
      </c>
    </row>
    <row r="18" spans="1:11">
      <c r="A18" s="40">
        <v>2016</v>
      </c>
      <c r="B18" s="40" t="s">
        <v>165</v>
      </c>
      <c r="C18" s="40" t="s">
        <v>44</v>
      </c>
      <c r="D18" s="40" t="s">
        <v>134</v>
      </c>
      <c r="E18" s="40">
        <v>0.25019999999999998</v>
      </c>
      <c r="F18" s="40"/>
      <c r="G18" s="40">
        <v>13.031005859375</v>
      </c>
    </row>
    <row r="19" spans="1:11">
      <c r="A19" s="39">
        <v>2016</v>
      </c>
      <c r="B19" s="39" t="s">
        <v>165</v>
      </c>
      <c r="C19" s="39" t="s">
        <v>44</v>
      </c>
      <c r="D19" s="39" t="s">
        <v>135</v>
      </c>
      <c r="E19" s="39">
        <v>0.318</v>
      </c>
      <c r="F19" s="39"/>
      <c r="G19" s="39">
        <v>20.52001953125</v>
      </c>
    </row>
    <row r="20" spans="1:11">
      <c r="A20" s="40">
        <v>2016</v>
      </c>
      <c r="B20" s="40" t="s">
        <v>165</v>
      </c>
      <c r="C20" s="40" t="s">
        <v>44</v>
      </c>
      <c r="D20" s="40" t="s">
        <v>136</v>
      </c>
      <c r="E20" s="40">
        <v>0.4849</v>
      </c>
      <c r="F20" s="40"/>
      <c r="G20" s="40">
        <v>51.84326171875</v>
      </c>
    </row>
    <row r="21" spans="1:11">
      <c r="A21" s="39">
        <v>2016</v>
      </c>
      <c r="B21" s="39" t="s">
        <v>165</v>
      </c>
      <c r="C21" s="39" t="s">
        <v>44</v>
      </c>
      <c r="D21" s="39" t="s">
        <v>137</v>
      </c>
      <c r="E21" s="39">
        <v>0.63080000000000003</v>
      </c>
      <c r="F21" s="39"/>
      <c r="G21" s="39">
        <v>86.767578125</v>
      </c>
      <c r="K21" s="37" t="s">
        <v>112</v>
      </c>
    </row>
    <row r="22" spans="1:11">
      <c r="A22" s="40">
        <v>2016</v>
      </c>
      <c r="B22" s="40" t="s">
        <v>165</v>
      </c>
      <c r="C22" s="40" t="s">
        <v>44</v>
      </c>
      <c r="D22" s="40" t="s">
        <v>138</v>
      </c>
      <c r="E22" s="40">
        <v>0.69399999999999995</v>
      </c>
      <c r="F22" s="40"/>
      <c r="G22" s="40">
        <v>78.955078125</v>
      </c>
    </row>
    <row r="23" spans="1:11">
      <c r="A23" s="40">
        <v>2016</v>
      </c>
      <c r="B23" s="37" t="s">
        <v>102</v>
      </c>
      <c r="C23" s="40" t="s">
        <v>44</v>
      </c>
      <c r="D23" s="37" t="s">
        <v>157</v>
      </c>
      <c r="E23" s="37">
        <v>0.46800000000000003</v>
      </c>
      <c r="G23" s="37">
        <v>85.988139356303407</v>
      </c>
    </row>
    <row r="24" spans="1:11">
      <c r="A24" s="40">
        <v>2016</v>
      </c>
      <c r="B24" s="39" t="s">
        <v>103</v>
      </c>
      <c r="C24" s="40" t="s">
        <v>44</v>
      </c>
      <c r="D24" s="39" t="s">
        <v>157</v>
      </c>
      <c r="E24" s="39">
        <v>0.54600000000000004</v>
      </c>
      <c r="F24" s="39"/>
      <c r="G24" s="39">
        <v>130.90748054029299</v>
      </c>
    </row>
    <row r="25" spans="1:11">
      <c r="A25" s="40">
        <v>2016</v>
      </c>
      <c r="B25" s="40" t="s">
        <v>104</v>
      </c>
      <c r="C25" s="40" t="s">
        <v>44</v>
      </c>
      <c r="D25" s="40" t="s">
        <v>157</v>
      </c>
      <c r="E25" s="40">
        <v>0.68</v>
      </c>
      <c r="F25" s="40"/>
      <c r="G25" s="40">
        <v>29.338062959558801</v>
      </c>
      <c r="I25" s="37" t="s">
        <v>112</v>
      </c>
    </row>
    <row r="26" spans="1:11">
      <c r="A26" s="40">
        <v>2016</v>
      </c>
      <c r="B26" s="39" t="s">
        <v>105</v>
      </c>
      <c r="C26" s="40" t="s">
        <v>44</v>
      </c>
      <c r="D26" s="39" t="s">
        <v>157</v>
      </c>
      <c r="E26" s="39">
        <v>0.38100000000000001</v>
      </c>
      <c r="F26" s="39"/>
      <c r="G26" s="39">
        <v>11.174991797900301</v>
      </c>
    </row>
    <row r="27" spans="1:11">
      <c r="A27" s="40">
        <v>2016</v>
      </c>
      <c r="B27" s="40" t="s">
        <v>106</v>
      </c>
      <c r="C27" s="40" t="s">
        <v>44</v>
      </c>
      <c r="D27" s="40" t="s">
        <v>157</v>
      </c>
      <c r="E27" s="40">
        <v>0.64900000000000002</v>
      </c>
      <c r="F27" s="40"/>
      <c r="G27" s="40">
        <v>90.787846687211101</v>
      </c>
    </row>
    <row r="28" spans="1:11">
      <c r="A28" s="40">
        <v>2016</v>
      </c>
      <c r="B28" s="39" t="s">
        <v>107</v>
      </c>
      <c r="C28" s="40" t="s">
        <v>44</v>
      </c>
      <c r="D28" s="39" t="s">
        <v>157</v>
      </c>
      <c r="E28" s="39">
        <v>0.58099999999999996</v>
      </c>
      <c r="F28" s="39"/>
      <c r="G28" s="39">
        <v>17.279031303786599</v>
      </c>
    </row>
    <row r="29" spans="1:11">
      <c r="A29" s="40">
        <v>2016</v>
      </c>
      <c r="B29" s="40" t="s">
        <v>109</v>
      </c>
      <c r="C29" s="40" t="s">
        <v>44</v>
      </c>
      <c r="D29" s="40" t="s">
        <v>157</v>
      </c>
      <c r="E29" s="40">
        <v>0.316</v>
      </c>
      <c r="F29" s="40"/>
      <c r="G29" s="40">
        <v>52.961065751087801</v>
      </c>
    </row>
    <row r="30" spans="1:11">
      <c r="A30" s="40">
        <v>2016</v>
      </c>
      <c r="B30" s="39" t="s">
        <v>108</v>
      </c>
      <c r="C30" s="40" t="s">
        <v>44</v>
      </c>
      <c r="D30" s="39" t="s">
        <v>157</v>
      </c>
      <c r="E30" s="39">
        <v>0.441</v>
      </c>
      <c r="F30" s="39"/>
      <c r="G30" s="39">
        <v>35.269899398561499</v>
      </c>
    </row>
    <row r="31" spans="1:11">
      <c r="A31" s="40">
        <v>2016</v>
      </c>
      <c r="B31" s="40" t="s">
        <v>110</v>
      </c>
      <c r="C31" s="40" t="s">
        <v>44</v>
      </c>
      <c r="D31" s="40" t="s">
        <v>157</v>
      </c>
      <c r="E31" s="40">
        <v>0.51400000000000001</v>
      </c>
      <c r="F31" s="40"/>
      <c r="G31" s="40">
        <v>85.446680447470797</v>
      </c>
    </row>
    <row r="32" spans="1:11">
      <c r="A32" s="40">
        <v>2016</v>
      </c>
      <c r="B32" s="39" t="s">
        <v>111</v>
      </c>
      <c r="C32" s="40" t="s">
        <v>44</v>
      </c>
      <c r="D32" s="39" t="s">
        <v>157</v>
      </c>
      <c r="E32" s="39">
        <v>0.439</v>
      </c>
      <c r="F32" s="39"/>
      <c r="G32" s="39">
        <v>52.735963304385002</v>
      </c>
    </row>
    <row r="33" spans="1:7">
      <c r="A33" s="40">
        <v>2016</v>
      </c>
      <c r="B33" s="40" t="s">
        <v>102</v>
      </c>
      <c r="C33" s="40" t="s">
        <v>43</v>
      </c>
      <c r="D33" s="40" t="s">
        <v>157</v>
      </c>
      <c r="E33" s="40">
        <v>0.60199999999999998</v>
      </c>
      <c r="F33" s="40"/>
      <c r="G33" s="40">
        <v>119.296034702035</v>
      </c>
    </row>
    <row r="34" spans="1:7">
      <c r="A34" s="40">
        <v>2016</v>
      </c>
      <c r="B34" s="39" t="s">
        <v>103</v>
      </c>
      <c r="C34" s="39" t="s">
        <v>43</v>
      </c>
      <c r="D34" s="39" t="s">
        <v>157</v>
      </c>
      <c r="E34" s="39">
        <v>0.57699999999999996</v>
      </c>
      <c r="F34" s="39"/>
      <c r="G34" s="39">
        <v>313.80177642980902</v>
      </c>
    </row>
    <row r="35" spans="1:7">
      <c r="A35" s="40">
        <v>2016</v>
      </c>
      <c r="B35" s="40" t="s">
        <v>104</v>
      </c>
      <c r="C35" s="40" t="s">
        <v>43</v>
      </c>
      <c r="D35" s="40" t="s">
        <v>157</v>
      </c>
      <c r="E35" s="40">
        <v>0.623</v>
      </c>
      <c r="F35" s="40"/>
      <c r="G35" s="40">
        <v>78.061590840690201</v>
      </c>
    </row>
    <row r="36" spans="1:7">
      <c r="A36" s="40">
        <v>2016</v>
      </c>
      <c r="B36" s="39" t="s">
        <v>105</v>
      </c>
      <c r="C36" s="39" t="s">
        <v>43</v>
      </c>
      <c r="D36" s="39" t="s">
        <v>157</v>
      </c>
      <c r="E36" s="39">
        <v>0.50700000000000001</v>
      </c>
      <c r="F36" s="39"/>
      <c r="G36" s="39">
        <v>65.934017504931006</v>
      </c>
    </row>
    <row r="37" spans="1:7">
      <c r="A37" s="40">
        <v>2016</v>
      </c>
      <c r="B37" s="40" t="s">
        <v>106</v>
      </c>
      <c r="C37" s="40" t="s">
        <v>43</v>
      </c>
      <c r="D37" s="40" t="s">
        <v>157</v>
      </c>
      <c r="E37" s="40">
        <v>0.58899999999999997</v>
      </c>
      <c r="F37" s="40"/>
      <c r="G37" s="40">
        <v>264.79826108870998</v>
      </c>
    </row>
    <row r="38" spans="1:7">
      <c r="A38" s="40">
        <v>2016</v>
      </c>
      <c r="B38" s="39" t="s">
        <v>107</v>
      </c>
      <c r="C38" s="39" t="s">
        <v>43</v>
      </c>
      <c r="D38" s="39" t="s">
        <v>157</v>
      </c>
      <c r="E38" s="39">
        <v>0.56899999999999995</v>
      </c>
      <c r="F38" s="39"/>
      <c r="G38" s="39">
        <v>110.12903668717</v>
      </c>
    </row>
    <row r="39" spans="1:7">
      <c r="A39" s="40">
        <v>2016</v>
      </c>
      <c r="B39" s="40" t="s">
        <v>109</v>
      </c>
      <c r="C39" s="40" t="s">
        <v>43</v>
      </c>
      <c r="D39" s="40" t="s">
        <v>157</v>
      </c>
      <c r="E39" s="40">
        <v>0.40200000000000002</v>
      </c>
      <c r="F39" s="40"/>
      <c r="G39" s="40">
        <v>22.713752404967298</v>
      </c>
    </row>
    <row r="40" spans="1:7">
      <c r="A40" s="40">
        <v>2016</v>
      </c>
      <c r="B40" s="39" t="s">
        <v>108</v>
      </c>
      <c r="C40" s="39" t="s">
        <v>43</v>
      </c>
      <c r="D40" s="39" t="s">
        <v>157</v>
      </c>
      <c r="E40" s="39">
        <v>0.49399999999999999</v>
      </c>
      <c r="F40" s="39"/>
      <c r="G40" s="39">
        <v>56.606561946482799</v>
      </c>
    </row>
    <row r="41" spans="1:7">
      <c r="A41" s="40">
        <v>2016</v>
      </c>
      <c r="B41" s="40" t="s">
        <v>110</v>
      </c>
      <c r="C41" s="40" t="s">
        <v>43</v>
      </c>
      <c r="D41" s="40" t="s">
        <v>157</v>
      </c>
      <c r="E41" s="40">
        <v>0.69299999999999995</v>
      </c>
      <c r="F41" s="40"/>
      <c r="G41" s="40">
        <v>96.805975491522403</v>
      </c>
    </row>
    <row r="42" spans="1:7">
      <c r="A42" s="40">
        <v>2016</v>
      </c>
      <c r="B42" s="39" t="s">
        <v>111</v>
      </c>
      <c r="C42" s="39" t="s">
        <v>43</v>
      </c>
      <c r="D42" s="39" t="s">
        <v>157</v>
      </c>
      <c r="E42" s="39">
        <v>0.48</v>
      </c>
      <c r="F42" s="39"/>
      <c r="G42" s="39">
        <v>49.004323323567696</v>
      </c>
    </row>
    <row r="43" spans="1:7">
      <c r="A43" s="40"/>
      <c r="B43" s="40"/>
      <c r="C43" s="40"/>
      <c r="D43" s="40"/>
      <c r="E43" s="40"/>
      <c r="F43" s="40"/>
      <c r="G43" s="40"/>
    </row>
    <row r="44" spans="1:7">
      <c r="A44" s="39"/>
      <c r="B44" s="39"/>
      <c r="C44" s="39"/>
      <c r="D44" s="39"/>
      <c r="E44" s="39"/>
      <c r="F44" s="39"/>
      <c r="G44" s="39"/>
    </row>
    <row r="45" spans="1:7">
      <c r="A45" s="40"/>
      <c r="B45" s="40"/>
      <c r="C45" s="40"/>
      <c r="D45" s="40"/>
      <c r="E45" s="40"/>
      <c r="F45" s="40"/>
      <c r="G45" s="40"/>
    </row>
    <row r="46" spans="1:7">
      <c r="A46" s="39"/>
      <c r="B46" s="39"/>
      <c r="C46" s="39"/>
      <c r="D46" s="39"/>
      <c r="E46" s="39"/>
      <c r="F46" s="39"/>
      <c r="G46" s="39"/>
    </row>
    <row r="47" spans="1:7">
      <c r="A47" s="40"/>
      <c r="B47" s="40"/>
      <c r="C47" s="40"/>
      <c r="D47" s="40"/>
      <c r="E47" s="40"/>
      <c r="F47" s="40"/>
      <c r="G47" s="40"/>
    </row>
    <row r="48" spans="1:7">
      <c r="A48" s="39"/>
      <c r="B48" s="39"/>
      <c r="C48" s="39"/>
      <c r="D48" s="39"/>
      <c r="E48" s="39"/>
      <c r="F48" s="39"/>
      <c r="G48" s="39"/>
    </row>
    <row r="49" spans="1:7">
      <c r="A49" s="40"/>
      <c r="B49" s="40"/>
      <c r="C49" s="40"/>
      <c r="D49" s="40"/>
      <c r="E49" s="40"/>
      <c r="F49" s="40"/>
      <c r="G49" s="40"/>
    </row>
    <row r="50" spans="1:7">
      <c r="A50" s="39"/>
      <c r="B50" s="39"/>
      <c r="C50" s="39"/>
      <c r="D50" s="39"/>
      <c r="E50" s="39"/>
      <c r="F50" s="39"/>
      <c r="G50" s="39"/>
    </row>
    <row r="51" spans="1:7">
      <c r="A51" s="40"/>
      <c r="B51" s="40"/>
      <c r="C51" s="40"/>
      <c r="D51" s="40"/>
      <c r="E51" s="40"/>
      <c r="F51" s="40"/>
      <c r="G51" s="40"/>
    </row>
    <row r="52" spans="1:7">
      <c r="A52" s="39"/>
      <c r="B52" s="39"/>
      <c r="C52" s="39"/>
      <c r="D52" s="39"/>
      <c r="E52" s="39"/>
      <c r="F52" s="39"/>
      <c r="G52" s="39"/>
    </row>
    <row r="53" spans="1:7">
      <c r="A53" s="40"/>
      <c r="B53" s="40"/>
      <c r="C53" s="40"/>
      <c r="D53" s="40"/>
      <c r="E53" s="40"/>
      <c r="F53" s="40"/>
      <c r="G53" s="40"/>
    </row>
    <row r="54" spans="1:7">
      <c r="A54" s="39"/>
      <c r="B54" s="39"/>
      <c r="C54" s="39"/>
      <c r="D54" s="39"/>
      <c r="E54" s="39"/>
      <c r="F54" s="39"/>
      <c r="G54" s="39"/>
    </row>
    <row r="55" spans="1:7">
      <c r="A55" s="40"/>
      <c r="B55" s="40"/>
      <c r="C55" s="40"/>
      <c r="D55" s="40"/>
      <c r="E55" s="40"/>
      <c r="F55" s="40"/>
      <c r="G55" s="40"/>
    </row>
    <row r="56" spans="1:7">
      <c r="A56" s="39"/>
      <c r="B56" s="39"/>
      <c r="C56" s="39"/>
      <c r="D56" s="39"/>
      <c r="E56" s="39"/>
      <c r="F56" s="39"/>
      <c r="G56" s="39"/>
    </row>
    <row r="57" spans="1:7">
      <c r="A57" s="40"/>
      <c r="B57" s="40"/>
      <c r="C57" s="40"/>
      <c r="D57" s="40"/>
      <c r="E57" s="40"/>
      <c r="F57" s="40"/>
      <c r="G57" s="40"/>
    </row>
    <row r="58" spans="1:7">
      <c r="A58" s="39"/>
      <c r="B58" s="39"/>
      <c r="C58" s="39"/>
      <c r="D58" s="39"/>
      <c r="E58" s="39"/>
      <c r="F58" s="39"/>
      <c r="G58" s="39"/>
    </row>
    <row r="59" spans="1:7">
      <c r="A59" s="40"/>
      <c r="B59" s="40"/>
      <c r="C59" s="40"/>
      <c r="D59" s="40"/>
      <c r="E59" s="40"/>
      <c r="F59" s="40"/>
      <c r="G59" s="40"/>
    </row>
    <row r="60" spans="1:7">
      <c r="A60" s="39"/>
      <c r="B60" s="39"/>
      <c r="C60" s="39"/>
      <c r="D60" s="39"/>
      <c r="E60" s="39"/>
      <c r="F60" s="39"/>
      <c r="G60" s="39"/>
    </row>
    <row r="61" spans="1:7">
      <c r="A61" s="40"/>
      <c r="B61" s="40"/>
      <c r="C61" s="40"/>
      <c r="D61" s="40"/>
      <c r="E61" s="40"/>
      <c r="F61" s="40"/>
      <c r="G61" s="40"/>
    </row>
    <row r="62" spans="1:7">
      <c r="A62" s="39"/>
      <c r="B62" s="39"/>
      <c r="C62" s="39"/>
      <c r="D62" s="39"/>
      <c r="E62" s="39"/>
      <c r="F62" s="39"/>
      <c r="G62" s="39"/>
    </row>
    <row r="63" spans="1:7">
      <c r="A63" s="40"/>
      <c r="B63" s="40"/>
      <c r="C63" s="40"/>
      <c r="D63" s="40"/>
      <c r="E63" s="40"/>
      <c r="F63" s="40"/>
      <c r="G63" s="40"/>
    </row>
    <row r="64" spans="1:7">
      <c r="A64" s="39"/>
      <c r="B64" s="39"/>
      <c r="C64" s="39"/>
      <c r="D64" s="39"/>
      <c r="E64" s="39"/>
      <c r="F64" s="39"/>
      <c r="G64" s="39"/>
    </row>
    <row r="65" spans="1:7">
      <c r="A65" s="40"/>
      <c r="B65" s="40"/>
      <c r="C65" s="40"/>
      <c r="D65" s="40"/>
      <c r="E65" s="40"/>
      <c r="F65" s="40"/>
      <c r="G65" s="40"/>
    </row>
    <row r="66" spans="1:7">
      <c r="A66" s="39"/>
      <c r="B66" s="39"/>
      <c r="C66" s="39"/>
      <c r="D66" s="39"/>
      <c r="E66" s="39"/>
      <c r="F66" s="39"/>
      <c r="G66" s="39"/>
    </row>
    <row r="67" spans="1:7">
      <c r="A67" s="40"/>
      <c r="B67" s="40"/>
      <c r="C67" s="40"/>
      <c r="D67" s="40"/>
      <c r="E67" s="40"/>
      <c r="F67" s="40"/>
      <c r="G67" s="40"/>
    </row>
    <row r="68" spans="1:7">
      <c r="A68" s="39"/>
      <c r="B68" s="39"/>
      <c r="C68" s="39"/>
      <c r="D68" s="39"/>
      <c r="E68" s="39"/>
      <c r="F68" s="39"/>
      <c r="G68" s="39"/>
    </row>
    <row r="69" spans="1:7">
      <c r="A69" s="40"/>
      <c r="B69" s="40"/>
      <c r="C69" s="40"/>
      <c r="D69" s="40"/>
      <c r="E69" s="40"/>
      <c r="F69" s="40"/>
      <c r="G69" s="40"/>
    </row>
    <row r="70" spans="1:7">
      <c r="A70" s="39"/>
      <c r="B70" s="39"/>
      <c r="C70" s="39"/>
      <c r="D70" s="39"/>
      <c r="E70" s="39"/>
      <c r="F70" s="39"/>
      <c r="G70" s="39"/>
    </row>
    <row r="71" spans="1:7">
      <c r="A71" s="40"/>
      <c r="B71" s="40"/>
      <c r="C71" s="40"/>
      <c r="D71" s="40"/>
      <c r="E71" s="40"/>
      <c r="F71" s="40"/>
      <c r="G71" s="40"/>
    </row>
    <row r="72" spans="1:7">
      <c r="A72" s="39"/>
      <c r="B72" s="39"/>
      <c r="C72" s="39"/>
      <c r="D72" s="39"/>
      <c r="E72" s="39"/>
      <c r="F72" s="39"/>
      <c r="G72" s="39"/>
    </row>
    <row r="73" spans="1:7">
      <c r="A73" s="40"/>
      <c r="B73" s="40"/>
      <c r="C73" s="40"/>
      <c r="D73" s="40"/>
      <c r="E73" s="40"/>
      <c r="F73" s="40"/>
      <c r="G73" s="40"/>
    </row>
    <row r="74" spans="1:7">
      <c r="A74" s="39"/>
      <c r="B74" s="39"/>
      <c r="C74" s="39"/>
      <c r="D74" s="39"/>
      <c r="E74" s="39"/>
      <c r="F74" s="39"/>
      <c r="G74" s="39"/>
    </row>
    <row r="75" spans="1:7">
      <c r="A75" s="40"/>
      <c r="B75" s="40"/>
      <c r="C75" s="40"/>
      <c r="D75" s="40"/>
      <c r="E75" s="40"/>
      <c r="F75" s="40"/>
      <c r="G75" s="40"/>
    </row>
    <row r="76" spans="1:7">
      <c r="A76" s="39"/>
      <c r="B76" s="39"/>
      <c r="C76" s="39"/>
      <c r="D76" s="39"/>
      <c r="E76" s="39"/>
      <c r="F76" s="39"/>
      <c r="G76" s="39"/>
    </row>
    <row r="77" spans="1:7">
      <c r="A77" s="40"/>
      <c r="B77" s="40"/>
      <c r="C77" s="40"/>
      <c r="D77" s="40"/>
      <c r="E77" s="40"/>
      <c r="F77" s="40"/>
      <c r="G77" s="40"/>
    </row>
    <row r="78" spans="1:7">
      <c r="A78" s="39"/>
      <c r="B78" s="39"/>
      <c r="C78" s="39"/>
      <c r="D78" s="39"/>
      <c r="E78" s="39"/>
      <c r="F78" s="39"/>
      <c r="G78" s="39"/>
    </row>
    <row r="79" spans="1:7">
      <c r="A79" s="40"/>
      <c r="B79" s="40"/>
      <c r="C79" s="40"/>
      <c r="D79" s="40"/>
      <c r="E79" s="40"/>
      <c r="F79" s="40"/>
      <c r="G79" s="40"/>
    </row>
    <row r="80" spans="1:7">
      <c r="A80" s="39"/>
      <c r="B80" s="39"/>
      <c r="C80" s="39"/>
      <c r="D80" s="39"/>
      <c r="E80" s="39"/>
      <c r="F80" s="39"/>
      <c r="G80" s="39"/>
    </row>
    <row r="81" spans="1:7">
      <c r="A81" s="40"/>
      <c r="B81" s="40"/>
      <c r="C81" s="40"/>
      <c r="D81" s="40"/>
      <c r="E81" s="40"/>
      <c r="F81" s="40"/>
      <c r="G81" s="40"/>
    </row>
    <row r="82" spans="1:7">
      <c r="A82" s="39"/>
      <c r="B82" s="39"/>
      <c r="C82" s="39"/>
      <c r="D82" s="39"/>
      <c r="E82" s="39"/>
      <c r="F82" s="39"/>
      <c r="G82" s="39"/>
    </row>
    <row r="83" spans="1:7">
      <c r="A83" s="40"/>
      <c r="B83" s="40"/>
      <c r="C83" s="40"/>
      <c r="D83" s="40"/>
      <c r="E83" s="40"/>
      <c r="F83" s="40"/>
      <c r="G83" s="40"/>
    </row>
    <row r="84" spans="1:7">
      <c r="A84" s="39"/>
      <c r="B84" s="39"/>
      <c r="C84" s="39"/>
      <c r="D84" s="39"/>
      <c r="E84" s="39"/>
      <c r="F84" s="39"/>
      <c r="G84" s="39"/>
    </row>
    <row r="85" spans="1:7">
      <c r="A85" s="40"/>
      <c r="B85" s="40"/>
      <c r="C85" s="40"/>
      <c r="D85" s="40"/>
      <c r="E85" s="40"/>
      <c r="F85" s="40"/>
      <c r="G85" s="40"/>
    </row>
    <row r="86" spans="1:7">
      <c r="A86" s="39"/>
      <c r="B86" s="39"/>
      <c r="C86" s="39"/>
      <c r="D86" s="39"/>
      <c r="E86" s="39"/>
      <c r="F86" s="39"/>
      <c r="G86" s="39"/>
    </row>
    <row r="87" spans="1:7">
      <c r="A87" s="40"/>
      <c r="B87" s="40"/>
      <c r="C87" s="40"/>
      <c r="D87" s="40"/>
      <c r="E87" s="40"/>
      <c r="F87" s="40"/>
      <c r="G87" s="40"/>
    </row>
    <row r="88" spans="1:7">
      <c r="A88" s="39"/>
      <c r="B88" s="39"/>
      <c r="C88" s="39"/>
      <c r="D88" s="39"/>
      <c r="E88" s="39"/>
      <c r="F88" s="39"/>
      <c r="G88" s="39"/>
    </row>
    <row r="89" spans="1:7">
      <c r="A89" s="40"/>
      <c r="B89" s="40"/>
      <c r="C89" s="40"/>
      <c r="D89" s="40"/>
      <c r="E89" s="40"/>
      <c r="F89" s="40"/>
      <c r="G89" s="40"/>
    </row>
    <row r="90" spans="1:7">
      <c r="A90" s="39"/>
      <c r="B90" s="39"/>
      <c r="C90" s="39"/>
      <c r="D90" s="39"/>
      <c r="E90" s="39"/>
      <c r="F90" s="39"/>
      <c r="G90" s="39"/>
    </row>
    <row r="91" spans="1:7">
      <c r="A91" s="40"/>
      <c r="B91" s="40"/>
      <c r="C91" s="40"/>
      <c r="D91" s="40"/>
      <c r="E91" s="40"/>
      <c r="F91" s="40"/>
      <c r="G91" s="40"/>
    </row>
    <row r="92" spans="1:7">
      <c r="A92" s="39"/>
      <c r="B92" s="39"/>
      <c r="C92" s="39"/>
      <c r="D92" s="39"/>
      <c r="E92" s="39"/>
      <c r="F92" s="39"/>
      <c r="G92" s="39"/>
    </row>
    <row r="93" spans="1:7">
      <c r="A93" s="40"/>
      <c r="B93" s="40"/>
      <c r="C93" s="40"/>
      <c r="D93" s="40"/>
      <c r="E93" s="40"/>
      <c r="F93" s="40"/>
      <c r="G93" s="40"/>
    </row>
    <row r="94" spans="1:7">
      <c r="A94" s="39"/>
      <c r="B94" s="39"/>
      <c r="C94" s="39"/>
      <c r="D94" s="39"/>
      <c r="E94" s="39"/>
      <c r="F94" s="39"/>
      <c r="G94" s="39"/>
    </row>
    <row r="95" spans="1:7">
      <c r="A95" s="40"/>
      <c r="B95" s="40"/>
      <c r="C95" s="40"/>
      <c r="D95" s="40"/>
      <c r="E95" s="40"/>
      <c r="F95" s="40"/>
      <c r="G95" s="40"/>
    </row>
    <row r="96" spans="1:7">
      <c r="A96" s="39"/>
      <c r="B96" s="39"/>
      <c r="C96" s="39"/>
      <c r="D96" s="39"/>
      <c r="E96" s="39"/>
      <c r="F96" s="39"/>
      <c r="G96" s="39"/>
    </row>
    <row r="97" spans="1:7">
      <c r="A97" s="40"/>
      <c r="B97" s="40"/>
      <c r="C97" s="40"/>
      <c r="D97" s="40"/>
      <c r="E97" s="40"/>
      <c r="F97" s="40"/>
      <c r="G97" s="40"/>
    </row>
    <row r="98" spans="1:7">
      <c r="A98" s="39"/>
      <c r="B98" s="39"/>
      <c r="C98" s="39"/>
      <c r="D98" s="39"/>
      <c r="E98" s="39"/>
      <c r="F98" s="39"/>
      <c r="G98" s="39"/>
    </row>
    <row r="99" spans="1:7">
      <c r="A99" s="40"/>
      <c r="B99" s="40"/>
      <c r="C99" s="40"/>
      <c r="D99" s="40"/>
      <c r="E99" s="40"/>
      <c r="F99" s="40"/>
      <c r="G99" s="40"/>
    </row>
    <row r="100" spans="1:7">
      <c r="A100" s="39"/>
      <c r="B100" s="39"/>
      <c r="C100" s="39"/>
      <c r="D100" s="39"/>
      <c r="E100" s="39"/>
      <c r="F100" s="39"/>
      <c r="G100" s="39"/>
    </row>
    <row r="101" spans="1:7">
      <c r="A101" s="40"/>
      <c r="B101" s="40"/>
      <c r="C101" s="40"/>
      <c r="D101" s="40"/>
      <c r="E101" s="40"/>
      <c r="F101" s="40"/>
      <c r="G101" s="40"/>
    </row>
    <row r="102" spans="1:7">
      <c r="A102" s="39"/>
      <c r="B102" s="39"/>
      <c r="C102" s="39"/>
      <c r="D102" s="39"/>
      <c r="E102" s="39"/>
      <c r="F102" s="39"/>
      <c r="G102" s="39"/>
    </row>
    <row r="103" spans="1:7">
      <c r="A103" s="40"/>
      <c r="B103" s="40"/>
      <c r="C103" s="40"/>
      <c r="D103" s="40"/>
      <c r="E103" s="40"/>
      <c r="F103" s="40"/>
      <c r="G103" s="40"/>
    </row>
    <row r="104" spans="1:7">
      <c r="A104" s="39"/>
      <c r="B104" s="39"/>
      <c r="C104" s="39"/>
      <c r="D104" s="39"/>
      <c r="E104" s="39"/>
      <c r="F104" s="39"/>
      <c r="G104" s="39"/>
    </row>
    <row r="105" spans="1:7">
      <c r="A105" s="40"/>
      <c r="B105" s="40"/>
      <c r="C105" s="40"/>
      <c r="D105" s="40"/>
      <c r="E105" s="40"/>
      <c r="F105" s="40"/>
      <c r="G105" s="40"/>
    </row>
    <row r="106" spans="1:7">
      <c r="A106" s="39"/>
      <c r="B106" s="39"/>
      <c r="C106" s="39"/>
      <c r="D106" s="39"/>
      <c r="E106" s="39"/>
      <c r="F106" s="39"/>
      <c r="G106" s="39"/>
    </row>
    <row r="107" spans="1:7">
      <c r="A107" s="40"/>
      <c r="B107" s="40"/>
      <c r="C107" s="40"/>
      <c r="D107" s="40"/>
      <c r="E107" s="40"/>
      <c r="F107" s="40"/>
      <c r="G107" s="40"/>
    </row>
    <row r="108" spans="1:7">
      <c r="A108" s="39"/>
      <c r="B108" s="39"/>
      <c r="C108" s="39"/>
      <c r="D108" s="39"/>
      <c r="E108" s="39"/>
      <c r="F108" s="39"/>
      <c r="G108" s="39"/>
    </row>
    <row r="109" spans="1:7">
      <c r="A109" s="40"/>
      <c r="B109" s="40"/>
      <c r="C109" s="40"/>
      <c r="D109" s="40"/>
      <c r="E109" s="40"/>
      <c r="F109" s="40"/>
      <c r="G109" s="40"/>
    </row>
    <row r="110" spans="1:7">
      <c r="A110" s="39"/>
      <c r="B110" s="39"/>
      <c r="C110" s="39"/>
      <c r="D110" s="39"/>
      <c r="E110" s="39"/>
      <c r="F110" s="39"/>
      <c r="G110" s="39"/>
    </row>
    <row r="111" spans="1:7">
      <c r="A111" s="40"/>
      <c r="B111" s="40"/>
      <c r="C111" s="40"/>
      <c r="D111" s="40"/>
      <c r="E111" s="40"/>
      <c r="F111" s="40"/>
      <c r="G111" s="40"/>
    </row>
    <row r="112" spans="1:7">
      <c r="A112" s="39"/>
      <c r="B112" s="39"/>
      <c r="C112" s="39"/>
      <c r="D112" s="39"/>
      <c r="E112" s="39"/>
      <c r="F112" s="39"/>
      <c r="G112" s="39"/>
    </row>
    <row r="113" spans="1:7">
      <c r="A113" s="40"/>
      <c r="B113" s="40"/>
      <c r="C113" s="40"/>
      <c r="D113" s="40"/>
      <c r="E113" s="40"/>
      <c r="F113" s="40"/>
      <c r="G113" s="40"/>
    </row>
    <row r="114" spans="1:7">
      <c r="A114" s="39"/>
      <c r="B114" s="39"/>
      <c r="C114" s="39"/>
      <c r="D114" s="39"/>
      <c r="E114" s="39"/>
      <c r="F114" s="39"/>
      <c r="G114" s="39"/>
    </row>
    <row r="115" spans="1:7">
      <c r="A115" s="40"/>
      <c r="B115" s="40"/>
      <c r="C115" s="40"/>
      <c r="D115" s="40"/>
      <c r="E115" s="40"/>
      <c r="F115" s="40"/>
      <c r="G115" s="40"/>
    </row>
    <row r="116" spans="1:7">
      <c r="A116" s="39"/>
      <c r="B116" s="39"/>
      <c r="C116" s="39"/>
      <c r="D116" s="39"/>
      <c r="E116" s="39"/>
      <c r="F116" s="39"/>
      <c r="G116" s="39"/>
    </row>
    <row r="117" spans="1:7">
      <c r="A117" s="40"/>
      <c r="B117" s="40"/>
      <c r="C117" s="40"/>
      <c r="D117" s="40"/>
      <c r="E117" s="40"/>
      <c r="F117" s="40"/>
      <c r="G117" s="40"/>
    </row>
    <row r="118" spans="1:7">
      <c r="A118" s="39"/>
      <c r="B118" s="39"/>
      <c r="C118" s="39"/>
      <c r="D118" s="39"/>
      <c r="E118" s="39"/>
      <c r="F118" s="39"/>
      <c r="G118" s="39"/>
    </row>
    <row r="119" spans="1:7">
      <c r="A119" s="40"/>
      <c r="B119" s="40"/>
      <c r="C119" s="40"/>
      <c r="D119" s="40"/>
      <c r="E119" s="40"/>
      <c r="F119" s="40"/>
      <c r="G119" s="40"/>
    </row>
    <row r="120" spans="1:7">
      <c r="A120" s="39"/>
      <c r="B120" s="39"/>
      <c r="C120" s="39"/>
      <c r="D120" s="39"/>
      <c r="E120" s="39"/>
      <c r="F120" s="39"/>
      <c r="G120" s="39"/>
    </row>
    <row r="121" spans="1:7">
      <c r="A121" s="40"/>
      <c r="B121" s="40"/>
      <c r="C121" s="40"/>
      <c r="D121" s="40"/>
      <c r="E121" s="40"/>
      <c r="F121" s="40"/>
      <c r="G121" s="40"/>
    </row>
    <row r="122" spans="1:7">
      <c r="A122" s="39"/>
      <c r="B122" s="39"/>
      <c r="C122" s="39"/>
      <c r="D122" s="39"/>
      <c r="E122" s="39"/>
      <c r="F122" s="39"/>
      <c r="G122" s="39"/>
    </row>
    <row r="123" spans="1:7">
      <c r="A123" s="40"/>
      <c r="B123" s="40"/>
      <c r="C123" s="40"/>
      <c r="D123" s="40"/>
      <c r="E123" s="40"/>
      <c r="F123" s="40"/>
      <c r="G123" s="40"/>
    </row>
    <row r="124" spans="1:7">
      <c r="A124" s="39"/>
      <c r="B124" s="39"/>
      <c r="C124" s="39"/>
      <c r="D124" s="39"/>
      <c r="E124" s="39"/>
      <c r="F124" s="39"/>
      <c r="G124" s="39"/>
    </row>
    <row r="125" spans="1:7">
      <c r="A125" s="40"/>
      <c r="B125" s="40"/>
      <c r="C125" s="40"/>
      <c r="D125" s="40"/>
      <c r="E125" s="40"/>
      <c r="F125" s="40"/>
      <c r="G125" s="40"/>
    </row>
    <row r="126" spans="1:7">
      <c r="A126" s="39"/>
      <c r="B126" s="39"/>
      <c r="C126" s="39"/>
      <c r="D126" s="39"/>
      <c r="E126" s="39"/>
      <c r="F126" s="39"/>
      <c r="G126" s="39"/>
    </row>
    <row r="127" spans="1:7">
      <c r="A127" s="40"/>
      <c r="B127" s="40"/>
      <c r="C127" s="40"/>
      <c r="D127" s="40"/>
      <c r="E127" s="40"/>
      <c r="F127" s="40"/>
      <c r="G127" s="40"/>
    </row>
    <row r="128" spans="1:7">
      <c r="A128" s="39"/>
      <c r="B128" s="39"/>
      <c r="C128" s="39"/>
      <c r="D128" s="39"/>
      <c r="E128" s="39"/>
      <c r="F128" s="39"/>
      <c r="G128" s="39"/>
    </row>
    <row r="129" spans="1:7">
      <c r="A129" s="40"/>
      <c r="B129" s="40"/>
      <c r="C129" s="40"/>
      <c r="D129" s="40"/>
      <c r="E129" s="40"/>
      <c r="F129" s="40"/>
      <c r="G129" s="40"/>
    </row>
    <row r="130" spans="1:7">
      <c r="A130" s="39"/>
      <c r="B130" s="39"/>
      <c r="C130" s="39"/>
      <c r="D130" s="39"/>
      <c r="E130" s="39"/>
      <c r="F130" s="39"/>
      <c r="G130" s="39"/>
    </row>
    <row r="131" spans="1:7">
      <c r="A131" s="40"/>
      <c r="B131" s="40"/>
      <c r="C131" s="40"/>
      <c r="D131" s="40"/>
      <c r="E131" s="40"/>
      <c r="F131" s="40"/>
      <c r="G131" s="40"/>
    </row>
    <row r="132" spans="1:7">
      <c r="A132" s="39"/>
      <c r="B132" s="39"/>
      <c r="C132" s="39"/>
      <c r="D132" s="39"/>
      <c r="E132" s="39"/>
      <c r="F132" s="39"/>
      <c r="G132" s="39"/>
    </row>
    <row r="133" spans="1:7">
      <c r="A133" s="40"/>
      <c r="B133" s="40"/>
      <c r="C133" s="40"/>
      <c r="D133" s="40"/>
      <c r="E133" s="40"/>
      <c r="F133" s="40"/>
      <c r="G133" s="40"/>
    </row>
    <row r="134" spans="1:7">
      <c r="A134" s="39"/>
      <c r="B134" s="39"/>
      <c r="C134" s="39"/>
      <c r="D134" s="39"/>
      <c r="E134" s="39"/>
      <c r="F134" s="39"/>
      <c r="G134" s="39"/>
    </row>
    <row r="135" spans="1:7">
      <c r="A135" s="40"/>
      <c r="B135" s="40"/>
      <c r="C135" s="40"/>
      <c r="D135" s="40"/>
      <c r="E135" s="40"/>
      <c r="F135" s="40"/>
      <c r="G135" s="40"/>
    </row>
    <row r="136" spans="1:7">
      <c r="A136" s="39"/>
      <c r="B136" s="39"/>
      <c r="C136" s="39"/>
      <c r="D136" s="39"/>
      <c r="E136" s="39"/>
      <c r="F136" s="39"/>
      <c r="G136" s="39"/>
    </row>
    <row r="137" spans="1:7">
      <c r="A137" s="40"/>
      <c r="B137" s="40"/>
      <c r="C137" s="40"/>
      <c r="D137" s="40"/>
      <c r="E137" s="40"/>
      <c r="F137" s="40"/>
      <c r="G137" s="40"/>
    </row>
    <row r="138" spans="1:7">
      <c r="A138" s="39"/>
      <c r="B138" s="39"/>
      <c r="C138" s="39"/>
      <c r="D138" s="39"/>
      <c r="E138" s="39"/>
      <c r="F138" s="39"/>
      <c r="G138" s="39"/>
    </row>
    <row r="139" spans="1:7">
      <c r="A139" s="40"/>
      <c r="B139" s="40"/>
      <c r="C139" s="40"/>
      <c r="D139" s="40"/>
      <c r="E139" s="40"/>
      <c r="F139" s="40"/>
      <c r="G139" s="40"/>
    </row>
    <row r="140" spans="1:7">
      <c r="A140" s="39"/>
      <c r="B140" s="39"/>
      <c r="C140" s="39"/>
      <c r="D140" s="39"/>
      <c r="E140" s="39"/>
      <c r="F140" s="39"/>
      <c r="G140" s="39"/>
    </row>
    <row r="141" spans="1:7">
      <c r="A141" s="40"/>
      <c r="B141" s="40"/>
      <c r="C141" s="40"/>
      <c r="D141" s="40"/>
      <c r="E141" s="40"/>
      <c r="F141" s="40"/>
      <c r="G141" s="40"/>
    </row>
    <row r="142" spans="1:7">
      <c r="A142" s="39"/>
      <c r="B142" s="39"/>
      <c r="C142" s="39"/>
      <c r="D142" s="39"/>
      <c r="E142" s="39"/>
      <c r="F142" s="39"/>
      <c r="G142" s="39"/>
    </row>
    <row r="143" spans="1:7">
      <c r="A143" s="40"/>
      <c r="B143" s="40"/>
      <c r="C143" s="40"/>
      <c r="D143" s="40"/>
      <c r="E143" s="40"/>
      <c r="F143" s="40"/>
      <c r="G143" s="40"/>
    </row>
    <row r="144" spans="1:7">
      <c r="A144" s="39"/>
      <c r="B144" s="39"/>
      <c r="C144" s="39"/>
      <c r="D144" s="39"/>
      <c r="E144" s="39"/>
      <c r="F144" s="39"/>
      <c r="G144" s="39"/>
    </row>
    <row r="145" spans="1:7">
      <c r="A145" s="40"/>
      <c r="B145" s="40"/>
      <c r="C145" s="40"/>
      <c r="D145" s="40"/>
      <c r="E145" s="40"/>
      <c r="F145" s="40"/>
      <c r="G145" s="40"/>
    </row>
    <row r="146" spans="1:7">
      <c r="A146" s="39"/>
      <c r="B146" s="39"/>
      <c r="C146" s="39"/>
      <c r="D146" s="39"/>
      <c r="E146" s="39"/>
      <c r="F146" s="39"/>
      <c r="G146" s="39"/>
    </row>
    <row r="147" spans="1:7">
      <c r="A147" s="40"/>
      <c r="B147" s="40"/>
      <c r="C147" s="40"/>
      <c r="D147" s="40"/>
      <c r="E147" s="40"/>
      <c r="F147" s="40"/>
      <c r="G147" s="40"/>
    </row>
    <row r="148" spans="1:7">
      <c r="A148" s="39"/>
      <c r="B148" s="39"/>
      <c r="C148" s="39"/>
      <c r="D148" s="39"/>
      <c r="E148" s="39"/>
      <c r="F148" s="39"/>
      <c r="G148" s="39"/>
    </row>
    <row r="149" spans="1:7">
      <c r="A149" s="40"/>
      <c r="B149" s="40"/>
      <c r="C149" s="40"/>
      <c r="D149" s="40"/>
      <c r="E149" s="40"/>
      <c r="F149" s="40"/>
      <c r="G149" s="40"/>
    </row>
    <row r="150" spans="1:7">
      <c r="A150" s="39"/>
      <c r="B150" s="39"/>
      <c r="C150" s="39"/>
      <c r="D150" s="39"/>
      <c r="E150" s="39"/>
      <c r="F150" s="39"/>
      <c r="G150" s="39"/>
    </row>
    <row r="151" spans="1:7">
      <c r="A151" s="40"/>
      <c r="B151" s="40"/>
      <c r="C151" s="40"/>
      <c r="D151" s="40"/>
      <c r="E151" s="40"/>
      <c r="F151" s="40"/>
      <c r="G151" s="40"/>
    </row>
    <row r="152" spans="1:7">
      <c r="A152" s="39"/>
      <c r="B152" s="39"/>
      <c r="C152" s="39"/>
      <c r="D152" s="39"/>
      <c r="E152" s="39"/>
      <c r="F152" s="39"/>
      <c r="G152" s="39"/>
    </row>
    <row r="153" spans="1:7">
      <c r="A153" s="40"/>
      <c r="B153" s="40"/>
      <c r="C153" s="40"/>
      <c r="D153" s="40"/>
      <c r="E153" s="40"/>
      <c r="F153" s="40"/>
      <c r="G153" s="40"/>
    </row>
    <row r="154" spans="1:7">
      <c r="A154" s="39"/>
      <c r="B154" s="39"/>
      <c r="C154" s="39"/>
      <c r="D154" s="39"/>
      <c r="E154" s="39"/>
      <c r="F154" s="39"/>
      <c r="G154" s="39"/>
    </row>
    <row r="155" spans="1:7">
      <c r="A155" s="40"/>
      <c r="B155" s="40"/>
      <c r="C155" s="40"/>
      <c r="D155" s="40"/>
      <c r="E155" s="40"/>
      <c r="F155" s="40"/>
      <c r="G155" s="40"/>
    </row>
    <row r="156" spans="1:7">
      <c r="A156" s="39"/>
      <c r="B156" s="39"/>
      <c r="C156" s="39"/>
      <c r="D156" s="39"/>
      <c r="E156" s="39"/>
      <c r="F156" s="39"/>
      <c r="G156" s="39"/>
    </row>
    <row r="157" spans="1:7">
      <c r="A157" s="40"/>
      <c r="B157" s="40"/>
      <c r="C157" s="40"/>
      <c r="D157" s="40"/>
      <c r="E157" s="40"/>
      <c r="F157" s="40"/>
      <c r="G157" s="40"/>
    </row>
    <row r="158" spans="1:7">
      <c r="A158" s="39"/>
      <c r="B158" s="39"/>
      <c r="C158" s="39"/>
      <c r="D158" s="39"/>
      <c r="E158" s="39"/>
      <c r="F158" s="39"/>
      <c r="G158" s="39"/>
    </row>
    <row r="159" spans="1:7">
      <c r="A159" s="40"/>
      <c r="B159" s="40"/>
      <c r="C159" s="40"/>
      <c r="D159" s="40"/>
      <c r="E159" s="40"/>
      <c r="F159" s="40"/>
      <c r="G159" s="40"/>
    </row>
    <row r="160" spans="1:7">
      <c r="A160" s="39"/>
      <c r="B160" s="39"/>
      <c r="C160" s="39"/>
      <c r="D160" s="39"/>
      <c r="E160" s="39"/>
      <c r="F160" s="39"/>
      <c r="G160" s="39"/>
    </row>
    <row r="161" spans="1:7">
      <c r="A161" s="40"/>
      <c r="B161" s="40"/>
      <c r="C161" s="40"/>
      <c r="D161" s="40"/>
      <c r="E161" s="40"/>
      <c r="F161" s="40"/>
      <c r="G161" s="40"/>
    </row>
    <row r="162" spans="1:7">
      <c r="A162" s="39"/>
      <c r="B162" s="39"/>
      <c r="C162" s="39"/>
      <c r="D162" s="39"/>
      <c r="E162" s="39"/>
      <c r="F162" s="39"/>
      <c r="G162" s="39"/>
    </row>
    <row r="163" spans="1:7">
      <c r="A163" s="40"/>
      <c r="B163" s="40"/>
      <c r="C163" s="40"/>
      <c r="D163" s="40"/>
      <c r="E163" s="40"/>
      <c r="F163" s="40"/>
      <c r="G163" s="40"/>
    </row>
    <row r="164" spans="1:7">
      <c r="A164" s="39"/>
      <c r="B164" s="39"/>
      <c r="C164" s="39"/>
      <c r="D164" s="39"/>
      <c r="E164" s="39"/>
      <c r="F164" s="39"/>
      <c r="G164" s="39"/>
    </row>
    <row r="165" spans="1:7">
      <c r="A165" s="40"/>
      <c r="B165" s="40"/>
      <c r="C165" s="40"/>
      <c r="D165" s="40"/>
      <c r="E165" s="40"/>
      <c r="F165" s="40"/>
      <c r="G165" s="40"/>
    </row>
    <row r="166" spans="1:7">
      <c r="A166" s="39"/>
      <c r="B166" s="39"/>
      <c r="C166" s="39"/>
      <c r="D166" s="39"/>
      <c r="E166" s="39"/>
      <c r="F166" s="39"/>
      <c r="G166" s="39"/>
    </row>
    <row r="167" spans="1:7">
      <c r="A167" s="40"/>
      <c r="B167" s="40"/>
      <c r="C167" s="40"/>
      <c r="D167" s="40"/>
      <c r="E167" s="40"/>
      <c r="F167" s="40"/>
      <c r="G167" s="40"/>
    </row>
    <row r="168" spans="1:7">
      <c r="A168" s="39"/>
      <c r="B168" s="39"/>
      <c r="C168" s="39"/>
      <c r="D168" s="39"/>
      <c r="E168" s="39"/>
      <c r="F168" s="39"/>
      <c r="G168" s="39"/>
    </row>
    <row r="169" spans="1:7">
      <c r="A169" s="40"/>
      <c r="B169" s="40"/>
      <c r="C169" s="40"/>
      <c r="D169" s="40"/>
      <c r="E169" s="40"/>
      <c r="F169" s="40"/>
      <c r="G169" s="40"/>
    </row>
    <row r="170" spans="1:7">
      <c r="A170" s="39"/>
      <c r="B170" s="39"/>
      <c r="C170" s="39"/>
      <c r="D170" s="39"/>
      <c r="E170" s="39"/>
      <c r="F170" s="39"/>
      <c r="G170" s="39"/>
    </row>
    <row r="171" spans="1:7">
      <c r="A171" s="40"/>
      <c r="B171" s="40"/>
      <c r="C171" s="40"/>
      <c r="D171" s="40"/>
      <c r="E171" s="40"/>
      <c r="F171" s="40"/>
      <c r="G171" s="40"/>
    </row>
    <row r="172" spans="1:7">
      <c r="A172" s="39"/>
      <c r="B172" s="39"/>
      <c r="C172" s="39"/>
      <c r="D172" s="39"/>
      <c r="E172" s="39"/>
      <c r="F172" s="39"/>
      <c r="G172" s="39"/>
    </row>
    <row r="173" spans="1:7">
      <c r="A173" s="40"/>
      <c r="B173" s="40"/>
      <c r="C173" s="40"/>
      <c r="D173" s="40"/>
      <c r="E173" s="40"/>
      <c r="F173" s="40"/>
      <c r="G173" s="40"/>
    </row>
    <row r="174" spans="1:7">
      <c r="A174" s="39"/>
      <c r="B174" s="39"/>
      <c r="C174" s="39"/>
      <c r="D174" s="39"/>
      <c r="E174" s="39"/>
      <c r="F174" s="39"/>
      <c r="G174" s="39"/>
    </row>
    <row r="175" spans="1:7">
      <c r="A175" s="40"/>
      <c r="B175" s="40"/>
      <c r="C175" s="40"/>
      <c r="D175" s="40"/>
      <c r="E175" s="40"/>
      <c r="F175" s="40"/>
      <c r="G175" s="40"/>
    </row>
    <row r="176" spans="1:7">
      <c r="A176" s="39"/>
      <c r="B176" s="39"/>
      <c r="C176" s="39"/>
      <c r="D176" s="39"/>
      <c r="E176" s="39"/>
      <c r="F176" s="39"/>
      <c r="G176" s="39"/>
    </row>
    <row r="177" spans="1:7">
      <c r="A177" s="40"/>
      <c r="B177" s="40"/>
      <c r="C177" s="40"/>
      <c r="D177" s="40"/>
      <c r="E177" s="40"/>
      <c r="F177" s="40"/>
      <c r="G177" s="40"/>
    </row>
    <row r="178" spans="1:7">
      <c r="A178" s="39"/>
      <c r="B178" s="39"/>
      <c r="C178" s="39"/>
      <c r="D178" s="39"/>
      <c r="E178" s="39"/>
      <c r="F178" s="39"/>
      <c r="G178" s="39"/>
    </row>
    <row r="179" spans="1:7">
      <c r="A179" s="40"/>
      <c r="B179" s="40"/>
      <c r="C179" s="40"/>
      <c r="D179" s="40"/>
      <c r="E179" s="40"/>
      <c r="F179" s="40"/>
      <c r="G179" s="40"/>
    </row>
    <row r="180" spans="1:7">
      <c r="A180" s="39"/>
      <c r="B180" s="39"/>
      <c r="C180" s="39"/>
      <c r="D180" s="39"/>
      <c r="E180" s="39"/>
      <c r="F180" s="39"/>
      <c r="G180" s="39"/>
    </row>
    <row r="181" spans="1:7">
      <c r="A181" s="40"/>
      <c r="B181" s="40"/>
      <c r="C181" s="40"/>
      <c r="D181" s="40"/>
      <c r="E181" s="40"/>
      <c r="F181" s="40"/>
      <c r="G181" s="40"/>
    </row>
    <row r="182" spans="1:7">
      <c r="A182" s="39"/>
      <c r="B182" s="39"/>
      <c r="C182" s="39"/>
      <c r="D182" s="39"/>
      <c r="E182" s="39"/>
      <c r="F182" s="39"/>
      <c r="G182" s="39"/>
    </row>
    <row r="183" spans="1:7">
      <c r="A183" s="40"/>
      <c r="B183" s="40"/>
      <c r="C183" s="40"/>
      <c r="D183" s="40"/>
      <c r="E183" s="40"/>
      <c r="F183" s="40"/>
      <c r="G183" s="40"/>
    </row>
    <row r="184" spans="1:7">
      <c r="A184" s="39"/>
      <c r="B184" s="39"/>
      <c r="C184" s="39"/>
      <c r="D184" s="39"/>
      <c r="E184" s="39"/>
      <c r="F184" s="39"/>
      <c r="G184" s="39"/>
    </row>
    <row r="185" spans="1:7">
      <c r="A185" s="40"/>
      <c r="B185" s="40"/>
      <c r="C185" s="40"/>
      <c r="D185" s="40"/>
      <c r="E185" s="40"/>
      <c r="F185" s="40"/>
      <c r="G185" s="40"/>
    </row>
    <row r="186" spans="1:7">
      <c r="A186" s="39"/>
      <c r="B186" s="39"/>
      <c r="C186" s="39"/>
      <c r="D186" s="39"/>
      <c r="E186" s="39"/>
      <c r="F186" s="39"/>
      <c r="G186" s="39"/>
    </row>
    <row r="187" spans="1:7">
      <c r="A187" s="40"/>
      <c r="B187" s="40"/>
      <c r="C187" s="40"/>
      <c r="D187" s="40"/>
      <c r="E187" s="40"/>
      <c r="F187" s="40"/>
      <c r="G187" s="40"/>
    </row>
    <row r="188" spans="1:7">
      <c r="A188" s="39"/>
      <c r="B188" s="39"/>
      <c r="C188" s="39"/>
      <c r="D188" s="39"/>
      <c r="E188" s="39"/>
      <c r="F188" s="39"/>
      <c r="G188" s="39"/>
    </row>
    <row r="189" spans="1:7">
      <c r="A189" s="40"/>
      <c r="B189" s="40"/>
      <c r="C189" s="40"/>
      <c r="D189" s="40"/>
      <c r="E189" s="40"/>
      <c r="F189" s="40"/>
      <c r="G189" s="40"/>
    </row>
    <row r="190" spans="1:7">
      <c r="A190" s="39"/>
      <c r="B190" s="39"/>
      <c r="C190" s="39"/>
      <c r="D190" s="39"/>
      <c r="E190" s="39"/>
      <c r="F190" s="39"/>
      <c r="G190" s="39"/>
    </row>
    <row r="191" spans="1:7">
      <c r="A191" s="40"/>
      <c r="B191" s="40"/>
      <c r="C191" s="40"/>
      <c r="D191" s="40"/>
      <c r="E191" s="40"/>
      <c r="F191" s="40"/>
      <c r="G191" s="40"/>
    </row>
    <row r="192" spans="1:7">
      <c r="A192" s="39"/>
      <c r="B192" s="39"/>
      <c r="C192" s="39"/>
      <c r="D192" s="39"/>
      <c r="E192" s="39"/>
      <c r="F192" s="39"/>
      <c r="G192" s="39"/>
    </row>
    <row r="193" spans="1:7">
      <c r="A193" s="40"/>
      <c r="B193" s="40"/>
      <c r="C193" s="40"/>
      <c r="D193" s="40"/>
      <c r="E193" s="40"/>
      <c r="F193" s="40"/>
      <c r="G193" s="40"/>
    </row>
    <row r="194" spans="1:7">
      <c r="A194" s="39"/>
      <c r="B194" s="39"/>
      <c r="C194" s="39"/>
      <c r="D194" s="39"/>
      <c r="E194" s="39"/>
      <c r="F194" s="39"/>
      <c r="G194" s="39"/>
    </row>
    <row r="195" spans="1:7">
      <c r="A195" s="40"/>
      <c r="B195" s="40"/>
      <c r="C195" s="40"/>
      <c r="D195" s="40"/>
      <c r="E195" s="40"/>
      <c r="F195" s="40"/>
      <c r="G195" s="40"/>
    </row>
    <row r="196" spans="1:7">
      <c r="A196" s="39"/>
      <c r="B196" s="39"/>
      <c r="C196" s="39"/>
      <c r="D196" s="39"/>
      <c r="E196" s="39"/>
      <c r="F196" s="39"/>
      <c r="G196" s="39"/>
    </row>
    <row r="197" spans="1:7">
      <c r="A197" s="40"/>
      <c r="B197" s="40"/>
      <c r="C197" s="40"/>
      <c r="D197" s="40"/>
      <c r="E197" s="40"/>
      <c r="F197" s="40"/>
      <c r="G197" s="40"/>
    </row>
    <row r="198" spans="1:7">
      <c r="A198" s="39"/>
      <c r="B198" s="39"/>
      <c r="C198" s="39"/>
      <c r="D198" s="39"/>
      <c r="E198" s="39"/>
      <c r="F198" s="39"/>
      <c r="G198" s="39"/>
    </row>
    <row r="199" spans="1:7">
      <c r="A199" s="40"/>
      <c r="B199" s="40"/>
      <c r="C199" s="40"/>
      <c r="D199" s="40"/>
      <c r="E199" s="40"/>
      <c r="F199" s="40"/>
      <c r="G199" s="40"/>
    </row>
    <row r="200" spans="1:7">
      <c r="A200" s="39"/>
      <c r="B200" s="39"/>
      <c r="C200" s="39"/>
      <c r="D200" s="39"/>
      <c r="E200" s="39"/>
      <c r="F200" s="39"/>
      <c r="G200" s="39"/>
    </row>
    <row r="201" spans="1:7">
      <c r="A201" s="40"/>
      <c r="B201" s="40"/>
      <c r="C201" s="40"/>
      <c r="D201" s="40"/>
      <c r="E201" s="40"/>
      <c r="F201" s="40"/>
      <c r="G201" s="40"/>
    </row>
    <row r="202" spans="1:7">
      <c r="A202" s="39"/>
      <c r="B202" s="39"/>
      <c r="C202" s="39"/>
      <c r="D202" s="39"/>
      <c r="E202" s="39"/>
      <c r="F202" s="39"/>
      <c r="G202" s="39"/>
    </row>
    <row r="203" spans="1:7">
      <c r="A203" s="40"/>
      <c r="B203" s="40"/>
      <c r="C203" s="40"/>
      <c r="D203" s="40"/>
      <c r="E203" s="40"/>
      <c r="F203" s="40"/>
      <c r="G203" s="40"/>
    </row>
    <row r="204" spans="1:7">
      <c r="A204" s="39"/>
      <c r="B204" s="39"/>
      <c r="C204" s="39"/>
      <c r="D204" s="39"/>
      <c r="E204" s="39"/>
      <c r="F204" s="39"/>
      <c r="G204" s="39"/>
    </row>
    <row r="205" spans="1:7">
      <c r="A205" s="40"/>
      <c r="B205" s="40"/>
      <c r="C205" s="40"/>
      <c r="D205" s="40"/>
      <c r="E205" s="40"/>
      <c r="F205" s="40"/>
      <c r="G205" s="40"/>
    </row>
    <row r="206" spans="1:7">
      <c r="A206" s="39"/>
      <c r="B206" s="39"/>
      <c r="C206" s="39"/>
      <c r="D206" s="39"/>
      <c r="E206" s="39"/>
      <c r="F206" s="39"/>
      <c r="G206" s="39"/>
    </row>
    <row r="207" spans="1:7">
      <c r="A207" s="40"/>
      <c r="B207" s="40"/>
      <c r="C207" s="40"/>
      <c r="D207" s="40"/>
      <c r="E207" s="40"/>
      <c r="F207" s="40"/>
      <c r="G207" s="40"/>
    </row>
    <row r="208" spans="1:7">
      <c r="A208" s="39"/>
      <c r="B208" s="39"/>
      <c r="C208" s="39"/>
      <c r="D208" s="39"/>
      <c r="E208" s="39"/>
      <c r="F208" s="39"/>
      <c r="G208" s="39"/>
    </row>
    <row r="209" spans="1:7">
      <c r="A209" s="40"/>
      <c r="B209" s="40"/>
      <c r="C209" s="40"/>
      <c r="D209" s="40"/>
      <c r="E209" s="40"/>
      <c r="F209" s="40"/>
      <c r="G209" s="40"/>
    </row>
    <row r="210" spans="1:7">
      <c r="A210" s="39"/>
      <c r="B210" s="39"/>
      <c r="C210" s="39"/>
      <c r="D210" s="39"/>
      <c r="E210" s="39"/>
      <c r="F210" s="39"/>
      <c r="G210" s="39"/>
    </row>
    <row r="211" spans="1:7">
      <c r="A211" s="40"/>
      <c r="B211" s="40"/>
      <c r="C211" s="40"/>
      <c r="D211" s="40"/>
      <c r="E211" s="40"/>
      <c r="F211" s="40"/>
      <c r="G211" s="40"/>
    </row>
    <row r="212" spans="1:7">
      <c r="A212" s="39"/>
      <c r="B212" s="39"/>
      <c r="C212" s="39"/>
      <c r="D212" s="39"/>
      <c r="E212" s="39"/>
      <c r="F212" s="39"/>
      <c r="G212" s="39"/>
    </row>
    <row r="213" spans="1:7">
      <c r="A213" s="40"/>
      <c r="B213" s="40"/>
      <c r="C213" s="40"/>
      <c r="D213" s="40"/>
      <c r="E213" s="40"/>
      <c r="F213" s="40"/>
      <c r="G213" s="40"/>
    </row>
    <row r="214" spans="1:7">
      <c r="A214" s="39"/>
      <c r="B214" s="39"/>
      <c r="C214" s="39"/>
      <c r="D214" s="39"/>
      <c r="E214" s="39"/>
      <c r="F214" s="39"/>
      <c r="G214" s="39"/>
    </row>
    <row r="215" spans="1:7">
      <c r="A215" s="40"/>
      <c r="B215" s="40"/>
      <c r="C215" s="40"/>
      <c r="D215" s="40"/>
      <c r="E215" s="40"/>
      <c r="F215" s="40"/>
      <c r="G215" s="40"/>
    </row>
    <row r="216" spans="1:7">
      <c r="A216" s="39"/>
      <c r="B216" s="39"/>
      <c r="C216" s="39"/>
      <c r="D216" s="39"/>
      <c r="E216" s="39"/>
      <c r="F216" s="39"/>
      <c r="G216" s="39"/>
    </row>
    <row r="217" spans="1:7">
      <c r="A217" s="40"/>
      <c r="B217" s="40"/>
      <c r="C217" s="40"/>
      <c r="D217" s="40"/>
      <c r="E217" s="40"/>
      <c r="F217" s="40"/>
      <c r="G217" s="40"/>
    </row>
    <row r="218" spans="1:7">
      <c r="A218" s="39"/>
      <c r="B218" s="39"/>
      <c r="C218" s="39"/>
      <c r="D218" s="39"/>
      <c r="E218" s="39"/>
      <c r="F218" s="39"/>
      <c r="G218" s="39"/>
    </row>
    <row r="219" spans="1:7">
      <c r="A219" s="40"/>
      <c r="B219" s="40"/>
      <c r="C219" s="40"/>
      <c r="D219" s="40"/>
      <c r="E219" s="40"/>
      <c r="F219" s="40"/>
      <c r="G219" s="40"/>
    </row>
    <row r="220" spans="1:7">
      <c r="A220" s="39"/>
      <c r="B220" s="39"/>
      <c r="C220" s="39"/>
      <c r="D220" s="39"/>
      <c r="E220" s="39"/>
      <c r="F220" s="39"/>
      <c r="G220" s="39"/>
    </row>
    <row r="221" spans="1:7">
      <c r="A221" s="40"/>
      <c r="B221" s="40"/>
      <c r="C221" s="40"/>
      <c r="D221" s="40"/>
      <c r="E221" s="40"/>
      <c r="F221" s="40"/>
      <c r="G221" s="40"/>
    </row>
    <row r="222" spans="1:7">
      <c r="A222" s="39"/>
      <c r="B222" s="39"/>
      <c r="C222" s="39"/>
      <c r="D222" s="39"/>
      <c r="E222" s="39"/>
      <c r="F222" s="39"/>
      <c r="G222" s="39"/>
    </row>
    <row r="223" spans="1:7">
      <c r="A223" s="40"/>
      <c r="B223" s="40"/>
      <c r="C223" s="40"/>
      <c r="D223" s="40"/>
      <c r="E223" s="40"/>
      <c r="F223" s="40"/>
      <c r="G223" s="40"/>
    </row>
    <row r="224" spans="1:7">
      <c r="A224" s="39"/>
      <c r="B224" s="39"/>
      <c r="C224" s="39"/>
      <c r="D224" s="39"/>
      <c r="E224" s="39"/>
      <c r="F224" s="39"/>
      <c r="G224" s="39"/>
    </row>
    <row r="225" spans="1:7">
      <c r="A225" s="40"/>
      <c r="B225" s="40"/>
      <c r="C225" s="40"/>
      <c r="D225" s="40"/>
      <c r="E225" s="40"/>
      <c r="F225" s="40"/>
      <c r="G225" s="40"/>
    </row>
    <row r="226" spans="1:7">
      <c r="A226" s="39"/>
      <c r="B226" s="39"/>
      <c r="C226" s="39"/>
      <c r="D226" s="39"/>
      <c r="E226" s="39"/>
      <c r="F226" s="39"/>
      <c r="G226" s="39"/>
    </row>
    <row r="227" spans="1:7">
      <c r="A227" s="40"/>
      <c r="B227" s="40"/>
      <c r="C227" s="40"/>
      <c r="D227" s="40"/>
      <c r="E227" s="40"/>
      <c r="F227" s="40"/>
      <c r="G227" s="40"/>
    </row>
    <row r="228" spans="1:7">
      <c r="A228" s="39"/>
      <c r="B228" s="39"/>
      <c r="C228" s="39"/>
      <c r="D228" s="39"/>
      <c r="E228" s="39"/>
      <c r="F228" s="39"/>
      <c r="G228" s="39"/>
    </row>
    <row r="229" spans="1:7">
      <c r="A229" s="40"/>
      <c r="B229" s="40"/>
      <c r="C229" s="40"/>
      <c r="D229" s="40"/>
      <c r="E229" s="40"/>
      <c r="F229" s="40"/>
      <c r="G229" s="40"/>
    </row>
    <row r="230" spans="1:7">
      <c r="A230" s="39"/>
      <c r="B230" s="39"/>
      <c r="C230" s="39"/>
      <c r="D230" s="39"/>
      <c r="E230" s="39"/>
      <c r="F230" s="39"/>
      <c r="G230" s="39"/>
    </row>
    <row r="231" spans="1:7">
      <c r="A231" s="40"/>
      <c r="B231" s="40"/>
      <c r="C231" s="40"/>
      <c r="D231" s="40"/>
      <c r="E231" s="40"/>
      <c r="F231" s="40"/>
      <c r="G231" s="40"/>
    </row>
    <row r="232" spans="1:7">
      <c r="A232" s="39"/>
      <c r="B232" s="39"/>
      <c r="C232" s="39"/>
      <c r="D232" s="39"/>
      <c r="E232" s="39"/>
      <c r="F232" s="39"/>
      <c r="G232" s="39"/>
    </row>
    <row r="233" spans="1:7">
      <c r="A233" s="40"/>
      <c r="B233" s="40"/>
      <c r="C233" s="40"/>
      <c r="D233" s="40"/>
      <c r="E233" s="40"/>
      <c r="F233" s="40"/>
      <c r="G233" s="40"/>
    </row>
    <row r="234" spans="1:7">
      <c r="A234" s="39"/>
      <c r="B234" s="39"/>
      <c r="C234" s="39"/>
      <c r="D234" s="39"/>
      <c r="E234" s="39"/>
      <c r="F234" s="39"/>
      <c r="G234" s="39"/>
    </row>
    <row r="235" spans="1:7">
      <c r="A235" s="40"/>
      <c r="B235" s="40"/>
      <c r="C235" s="40"/>
      <c r="D235" s="40"/>
      <c r="E235" s="40"/>
      <c r="F235" s="40"/>
      <c r="G235" s="40"/>
    </row>
    <row r="236" spans="1:7">
      <c r="A236" s="39"/>
      <c r="B236" s="39"/>
      <c r="C236" s="39"/>
      <c r="D236" s="39"/>
      <c r="E236" s="39"/>
      <c r="F236" s="39"/>
      <c r="G236" s="39"/>
    </row>
    <row r="237" spans="1:7">
      <c r="A237" s="40"/>
      <c r="B237" s="40"/>
      <c r="C237" s="40"/>
      <c r="D237" s="40"/>
      <c r="E237" s="40"/>
      <c r="F237" s="40"/>
      <c r="G237" s="40"/>
    </row>
    <row r="238" spans="1:7">
      <c r="A238" s="39"/>
      <c r="B238" s="39"/>
      <c r="C238" s="39"/>
      <c r="D238" s="39"/>
      <c r="E238" s="39"/>
      <c r="F238" s="39"/>
      <c r="G238" s="39"/>
    </row>
    <row r="239" spans="1:7">
      <c r="A239" s="40"/>
      <c r="B239" s="40"/>
      <c r="C239" s="40"/>
      <c r="D239" s="40"/>
      <c r="E239" s="40"/>
      <c r="F239" s="40"/>
      <c r="G239" s="40"/>
    </row>
    <row r="240" spans="1:7">
      <c r="A240" s="39"/>
      <c r="B240" s="39"/>
      <c r="C240" s="39"/>
      <c r="D240" s="39"/>
      <c r="E240" s="39"/>
      <c r="F240" s="39"/>
      <c r="G240" s="39"/>
    </row>
    <row r="241" spans="1:7">
      <c r="A241" s="40"/>
      <c r="B241" s="40"/>
      <c r="C241" s="40"/>
      <c r="D241" s="40"/>
      <c r="E241" s="40"/>
      <c r="F241" s="40"/>
      <c r="G241" s="40"/>
    </row>
    <row r="242" spans="1:7">
      <c r="A242" s="39"/>
      <c r="B242" s="39"/>
      <c r="C242" s="39"/>
      <c r="D242" s="39"/>
      <c r="E242" s="39"/>
      <c r="F242" s="39"/>
      <c r="G242" s="39"/>
    </row>
    <row r="243" spans="1:7">
      <c r="A243" s="40"/>
      <c r="B243" s="40"/>
      <c r="C243" s="40"/>
      <c r="D243" s="40"/>
      <c r="E243" s="40"/>
      <c r="F243" s="40"/>
      <c r="G243" s="40"/>
    </row>
    <row r="244" spans="1:7">
      <c r="A244" s="39"/>
      <c r="B244" s="39"/>
      <c r="C244" s="39"/>
      <c r="D244" s="39"/>
      <c r="E244" s="39"/>
      <c r="F244" s="39"/>
      <c r="G244" s="39"/>
    </row>
    <row r="245" spans="1:7">
      <c r="A245" s="40"/>
      <c r="B245" s="40"/>
      <c r="C245" s="40"/>
      <c r="D245" s="40"/>
      <c r="E245" s="40"/>
      <c r="F245" s="40"/>
      <c r="G245" s="40"/>
    </row>
    <row r="246" spans="1:7">
      <c r="A246" s="39"/>
      <c r="B246" s="39"/>
      <c r="C246" s="39"/>
      <c r="D246" s="39"/>
      <c r="E246" s="39"/>
      <c r="F246" s="39"/>
      <c r="G246" s="39"/>
    </row>
    <row r="247" spans="1:7">
      <c r="A247" s="40"/>
      <c r="B247" s="40"/>
      <c r="C247" s="40"/>
      <c r="D247" s="40"/>
      <c r="E247" s="40"/>
      <c r="F247" s="40"/>
      <c r="G247" s="40"/>
    </row>
    <row r="248" spans="1:7">
      <c r="A248" s="39"/>
      <c r="B248" s="39"/>
      <c r="C248" s="39"/>
      <c r="D248" s="39"/>
      <c r="E248" s="39"/>
      <c r="F248" s="39"/>
      <c r="G248" s="39"/>
    </row>
    <row r="249" spans="1:7">
      <c r="A249" s="40"/>
      <c r="B249" s="40"/>
      <c r="C249" s="40"/>
      <c r="D249" s="40"/>
      <c r="E249" s="40"/>
      <c r="F249" s="40"/>
      <c r="G249" s="40"/>
    </row>
    <row r="250" spans="1:7">
      <c r="A250" s="39"/>
      <c r="B250" s="39"/>
      <c r="C250" s="39"/>
      <c r="D250" s="39"/>
      <c r="E250" s="39"/>
      <c r="F250" s="39"/>
      <c r="G250" s="39"/>
    </row>
    <row r="251" spans="1:7">
      <c r="A251" s="40"/>
      <c r="B251" s="40"/>
      <c r="C251" s="40"/>
      <c r="D251" s="40"/>
      <c r="E251" s="40"/>
      <c r="F251" s="40"/>
      <c r="G251" s="40"/>
    </row>
    <row r="252" spans="1:7">
      <c r="A252" s="39"/>
      <c r="B252" s="39"/>
      <c r="C252" s="39"/>
      <c r="D252" s="39"/>
      <c r="E252" s="39"/>
      <c r="F252" s="39"/>
      <c r="G252" s="39"/>
    </row>
    <row r="253" spans="1:7">
      <c r="A253" s="40"/>
      <c r="B253" s="40"/>
      <c r="C253" s="40"/>
      <c r="D253" s="40"/>
      <c r="E253" s="40"/>
      <c r="F253" s="40"/>
      <c r="G253" s="40"/>
    </row>
    <row r="254" spans="1:7">
      <c r="A254" s="39"/>
      <c r="B254" s="39"/>
      <c r="C254" s="39"/>
      <c r="D254" s="39"/>
      <c r="E254" s="39"/>
      <c r="F254" s="39"/>
      <c r="G254" s="39"/>
    </row>
    <row r="255" spans="1:7">
      <c r="A255" s="40"/>
      <c r="B255" s="40"/>
      <c r="C255" s="40"/>
      <c r="D255" s="40"/>
      <c r="E255" s="40"/>
      <c r="F255" s="40"/>
      <c r="G255" s="40"/>
    </row>
    <row r="256" spans="1:7">
      <c r="A256" s="39"/>
      <c r="B256" s="39"/>
      <c r="C256" s="39"/>
      <c r="D256" s="39"/>
      <c r="E256" s="39"/>
      <c r="F256" s="39"/>
      <c r="G256" s="39"/>
    </row>
    <row r="257" spans="1:7">
      <c r="A257" s="40"/>
      <c r="B257" s="40"/>
      <c r="C257" s="40"/>
      <c r="D257" s="40"/>
      <c r="E257" s="40"/>
      <c r="F257" s="40"/>
      <c r="G257" s="40"/>
    </row>
    <row r="258" spans="1:7">
      <c r="A258" s="39"/>
      <c r="B258" s="39"/>
      <c r="C258" s="39"/>
      <c r="D258" s="39"/>
      <c r="E258" s="39"/>
      <c r="F258" s="39"/>
      <c r="G258" s="39"/>
    </row>
    <row r="259" spans="1:7">
      <c r="A259" s="40"/>
      <c r="B259" s="40"/>
      <c r="C259" s="40"/>
      <c r="D259" s="40"/>
      <c r="E259" s="40"/>
      <c r="F259" s="40"/>
      <c r="G259" s="40"/>
    </row>
    <row r="260" spans="1:7">
      <c r="A260" s="39"/>
      <c r="B260" s="39"/>
      <c r="C260" s="39"/>
      <c r="D260" s="39"/>
      <c r="E260" s="39"/>
      <c r="F260" s="39"/>
      <c r="G260" s="39"/>
    </row>
    <row r="261" spans="1:7">
      <c r="A261" s="40"/>
      <c r="B261" s="40"/>
      <c r="C261" s="40"/>
      <c r="D261" s="40"/>
      <c r="E261" s="40"/>
      <c r="F261" s="40"/>
      <c r="G261" s="40"/>
    </row>
    <row r="262" spans="1:7">
      <c r="A262" s="39"/>
      <c r="B262" s="39"/>
      <c r="C262" s="39"/>
      <c r="D262" s="39"/>
      <c r="E262" s="39"/>
      <c r="F262" s="39"/>
      <c r="G262" s="39"/>
    </row>
    <row r="263" spans="1:7">
      <c r="A263" s="40"/>
      <c r="B263" s="40"/>
      <c r="C263" s="40"/>
      <c r="D263" s="40"/>
      <c r="E263" s="40"/>
      <c r="F263" s="40"/>
      <c r="G263" s="40"/>
    </row>
    <row r="264" spans="1:7">
      <c r="A264" s="39"/>
      <c r="B264" s="39"/>
      <c r="C264" s="39"/>
      <c r="D264" s="39"/>
      <c r="E264" s="39"/>
      <c r="F264" s="39"/>
      <c r="G264" s="39"/>
    </row>
    <row r="265" spans="1:7">
      <c r="A265" s="40"/>
      <c r="B265" s="40"/>
      <c r="C265" s="40"/>
      <c r="D265" s="40"/>
      <c r="E265" s="40"/>
      <c r="F265" s="40"/>
      <c r="G265" s="40"/>
    </row>
    <row r="266" spans="1:7">
      <c r="A266" s="39"/>
      <c r="B266" s="39"/>
      <c r="C266" s="39"/>
      <c r="D266" s="39"/>
      <c r="E266" s="39"/>
      <c r="F266" s="39"/>
      <c r="G266" s="39"/>
    </row>
    <row r="267" spans="1:7">
      <c r="A267" s="40"/>
      <c r="B267" s="40"/>
      <c r="C267" s="40"/>
      <c r="D267" s="40"/>
      <c r="E267" s="40"/>
      <c r="F267" s="40"/>
      <c r="G267" s="40"/>
    </row>
    <row r="268" spans="1:7">
      <c r="A268" s="39"/>
      <c r="B268" s="39"/>
      <c r="C268" s="39"/>
      <c r="D268" s="39"/>
      <c r="E268" s="39"/>
      <c r="F268" s="39"/>
      <c r="G268" s="39"/>
    </row>
    <row r="269" spans="1:7">
      <c r="A269" s="40"/>
      <c r="B269" s="40"/>
      <c r="C269" s="40"/>
      <c r="D269" s="40"/>
      <c r="E269" s="40"/>
      <c r="F269" s="40"/>
      <c r="G269" s="40"/>
    </row>
    <row r="270" spans="1:7">
      <c r="A270" s="39"/>
      <c r="B270" s="39"/>
      <c r="C270" s="39"/>
      <c r="D270" s="39"/>
      <c r="E270" s="39"/>
      <c r="F270" s="39"/>
      <c r="G270" s="39"/>
    </row>
    <row r="271" spans="1:7">
      <c r="A271" s="40"/>
      <c r="B271" s="40"/>
      <c r="C271" s="40"/>
      <c r="D271" s="40"/>
      <c r="E271" s="40"/>
      <c r="F271" s="40"/>
      <c r="G271" s="40"/>
    </row>
    <row r="272" spans="1:7">
      <c r="A272" s="39"/>
      <c r="B272" s="39"/>
      <c r="C272" s="39"/>
      <c r="D272" s="39"/>
      <c r="E272" s="39"/>
      <c r="F272" s="39"/>
      <c r="G272" s="39"/>
    </row>
    <row r="273" spans="1:7">
      <c r="A273" s="40"/>
      <c r="B273" s="40"/>
      <c r="C273" s="40"/>
      <c r="D273" s="40"/>
      <c r="E273" s="40"/>
      <c r="F273" s="40"/>
      <c r="G273" s="40"/>
    </row>
    <row r="274" spans="1:7">
      <c r="A274" s="39"/>
      <c r="B274" s="39"/>
      <c r="C274" s="39"/>
      <c r="D274" s="39"/>
      <c r="E274" s="39"/>
      <c r="F274" s="39"/>
      <c r="G274" s="39"/>
    </row>
    <row r="275" spans="1:7">
      <c r="A275" s="40"/>
      <c r="B275" s="40"/>
      <c r="C275" s="40"/>
      <c r="D275" s="40"/>
      <c r="E275" s="40"/>
      <c r="F275" s="40"/>
      <c r="G275" s="40"/>
    </row>
    <row r="276" spans="1:7">
      <c r="A276" s="39"/>
      <c r="B276" s="39"/>
      <c r="C276" s="39"/>
      <c r="D276" s="39"/>
      <c r="E276" s="39"/>
      <c r="F276" s="39"/>
      <c r="G276" s="39"/>
    </row>
    <row r="277" spans="1:7">
      <c r="A277" s="40"/>
      <c r="B277" s="40"/>
      <c r="C277" s="40"/>
      <c r="D277" s="40"/>
      <c r="E277" s="40"/>
      <c r="F277" s="40"/>
      <c r="G277" s="40"/>
    </row>
    <row r="278" spans="1:7">
      <c r="A278" s="39"/>
      <c r="B278" s="39"/>
      <c r="C278" s="39"/>
      <c r="D278" s="39"/>
      <c r="E278" s="39"/>
      <c r="F278" s="39"/>
      <c r="G278" s="39"/>
    </row>
    <row r="279" spans="1:7">
      <c r="A279" s="40"/>
      <c r="B279" s="40"/>
      <c r="C279" s="40"/>
      <c r="D279" s="40"/>
      <c r="E279" s="40"/>
      <c r="F279" s="40"/>
      <c r="G279" s="40"/>
    </row>
    <row r="280" spans="1:7">
      <c r="A280" s="39"/>
      <c r="B280" s="39"/>
      <c r="C280" s="39"/>
      <c r="D280" s="39"/>
      <c r="E280" s="39"/>
      <c r="F280" s="39"/>
      <c r="G280" s="39"/>
    </row>
    <row r="281" spans="1:7">
      <c r="A281" s="40"/>
      <c r="B281" s="40"/>
      <c r="C281" s="40"/>
      <c r="D281" s="40"/>
      <c r="E281" s="40"/>
      <c r="F281" s="40"/>
      <c r="G281" s="40"/>
    </row>
    <row r="282" spans="1:7">
      <c r="A282" s="39"/>
      <c r="B282" s="39"/>
      <c r="C282" s="39"/>
      <c r="D282" s="39"/>
      <c r="E282" s="39"/>
      <c r="F282" s="39"/>
      <c r="G282" s="39"/>
    </row>
    <row r="283" spans="1:7">
      <c r="A283" s="40"/>
      <c r="B283" s="40"/>
      <c r="C283" s="40"/>
      <c r="D283" s="40"/>
      <c r="E283" s="40"/>
      <c r="F283" s="40"/>
      <c r="G283" s="40"/>
    </row>
    <row r="284" spans="1:7">
      <c r="A284" s="39"/>
      <c r="B284" s="39"/>
      <c r="C284" s="39"/>
      <c r="D284" s="39"/>
      <c r="E284" s="39"/>
      <c r="F284" s="39"/>
      <c r="G284" s="39"/>
    </row>
    <row r="285" spans="1:7">
      <c r="A285" s="40"/>
      <c r="B285" s="40"/>
      <c r="C285" s="40"/>
      <c r="D285" s="40"/>
      <c r="E285" s="40"/>
      <c r="F285" s="40"/>
      <c r="G285" s="40"/>
    </row>
    <row r="286" spans="1:7">
      <c r="A286" s="39"/>
      <c r="B286" s="39"/>
      <c r="C286" s="39"/>
      <c r="D286" s="39"/>
      <c r="E286" s="39"/>
      <c r="F286" s="39"/>
      <c r="G286" s="39"/>
    </row>
    <row r="287" spans="1:7">
      <c r="A287" s="40"/>
      <c r="B287" s="40"/>
      <c r="C287" s="40"/>
      <c r="D287" s="40"/>
      <c r="E287" s="40"/>
      <c r="F287" s="40"/>
      <c r="G287" s="40"/>
    </row>
    <row r="288" spans="1:7">
      <c r="A288" s="39"/>
      <c r="B288" s="39"/>
      <c r="C288" s="39"/>
      <c r="D288" s="39"/>
      <c r="E288" s="39"/>
      <c r="F288" s="39"/>
      <c r="G288" s="39"/>
    </row>
    <row r="289" spans="1:7">
      <c r="A289" s="40"/>
      <c r="B289" s="40"/>
      <c r="C289" s="40"/>
      <c r="D289" s="40"/>
      <c r="E289" s="40"/>
      <c r="F289" s="40"/>
      <c r="G289" s="40"/>
    </row>
    <row r="290" spans="1:7">
      <c r="A290" s="39"/>
      <c r="B290" s="39"/>
      <c r="C290" s="39"/>
      <c r="D290" s="39"/>
      <c r="E290" s="39"/>
      <c r="F290" s="39"/>
      <c r="G290" s="39"/>
    </row>
    <row r="291" spans="1:7">
      <c r="A291" s="40"/>
      <c r="B291" s="40"/>
      <c r="C291" s="40"/>
      <c r="D291" s="40"/>
      <c r="E291" s="40"/>
      <c r="F291" s="40"/>
      <c r="G291" s="40"/>
    </row>
    <row r="292" spans="1:7">
      <c r="A292" s="39"/>
      <c r="B292" s="39"/>
      <c r="C292" s="39"/>
      <c r="D292" s="39"/>
      <c r="E292" s="39"/>
      <c r="F292" s="39"/>
      <c r="G292" s="39"/>
    </row>
    <row r="293" spans="1:7">
      <c r="A293" s="40"/>
      <c r="B293" s="40"/>
      <c r="C293" s="40"/>
      <c r="D293" s="40"/>
      <c r="E293" s="40"/>
      <c r="F293" s="40"/>
      <c r="G293" s="40"/>
    </row>
    <row r="294" spans="1:7">
      <c r="A294" s="39"/>
      <c r="B294" s="39"/>
      <c r="C294" s="39"/>
      <c r="D294" s="39"/>
      <c r="E294" s="39"/>
      <c r="F294" s="39"/>
      <c r="G294" s="39"/>
    </row>
    <row r="295" spans="1:7">
      <c r="A295" s="40"/>
      <c r="B295" s="40"/>
      <c r="C295" s="40"/>
      <c r="D295" s="40"/>
      <c r="E295" s="40"/>
      <c r="F295" s="40"/>
      <c r="G295" s="40"/>
    </row>
    <row r="296" spans="1:7">
      <c r="A296" s="39"/>
      <c r="B296" s="39"/>
      <c r="C296" s="39"/>
      <c r="D296" s="39"/>
      <c r="E296" s="39"/>
      <c r="F296" s="39"/>
      <c r="G296" s="39"/>
    </row>
    <row r="297" spans="1:7">
      <c r="A297" s="40"/>
      <c r="B297" s="40"/>
      <c r="C297" s="40"/>
      <c r="D297" s="40"/>
      <c r="E297" s="40"/>
      <c r="F297" s="40"/>
      <c r="G297" s="40"/>
    </row>
    <row r="298" spans="1:7">
      <c r="A298" s="39"/>
      <c r="B298" s="39"/>
      <c r="C298" s="39"/>
      <c r="D298" s="39"/>
      <c r="E298" s="39"/>
      <c r="F298" s="39"/>
      <c r="G298" s="39"/>
    </row>
    <row r="299" spans="1:7">
      <c r="A299" s="40"/>
      <c r="B299" s="40"/>
      <c r="C299" s="40"/>
      <c r="D299" s="40"/>
      <c r="E299" s="40"/>
      <c r="F299" s="40"/>
      <c r="G299" s="40"/>
    </row>
    <row r="300" spans="1:7">
      <c r="A300" s="39"/>
      <c r="B300" s="39"/>
      <c r="C300" s="39"/>
      <c r="D300" s="39"/>
      <c r="E300" s="39"/>
      <c r="F300" s="39"/>
      <c r="G300" s="39"/>
    </row>
    <row r="301" spans="1:7">
      <c r="A301" s="40"/>
      <c r="B301" s="40"/>
      <c r="C301" s="40"/>
      <c r="D301" s="40"/>
      <c r="E301" s="40"/>
      <c r="F301" s="40"/>
      <c r="G301" s="40"/>
    </row>
    <row r="302" spans="1:7">
      <c r="A302" s="39"/>
      <c r="B302" s="39"/>
      <c r="C302" s="39"/>
      <c r="D302" s="39"/>
      <c r="E302" s="39"/>
      <c r="F302" s="39"/>
      <c r="G302" s="39"/>
    </row>
    <row r="303" spans="1:7">
      <c r="A303" s="40"/>
      <c r="B303" s="40"/>
      <c r="C303" s="40"/>
      <c r="D303" s="40"/>
      <c r="E303" s="40"/>
      <c r="F303" s="40"/>
      <c r="G303" s="40"/>
    </row>
    <row r="304" spans="1:7">
      <c r="A304" s="39"/>
      <c r="B304" s="39"/>
      <c r="C304" s="39"/>
      <c r="D304" s="39"/>
      <c r="E304" s="39"/>
      <c r="F304" s="39"/>
      <c r="G304" s="39"/>
    </row>
    <row r="305" spans="1:7">
      <c r="A305" s="40"/>
      <c r="B305" s="40"/>
      <c r="C305" s="40"/>
      <c r="D305" s="40"/>
      <c r="E305" s="40"/>
      <c r="F305" s="40"/>
      <c r="G305" s="40"/>
    </row>
    <row r="306" spans="1:7">
      <c r="A306" s="39"/>
      <c r="B306" s="39"/>
      <c r="C306" s="39"/>
      <c r="D306" s="39"/>
      <c r="E306" s="39"/>
      <c r="F306" s="39"/>
      <c r="G306" s="39"/>
    </row>
    <row r="307" spans="1:7">
      <c r="A307" s="40"/>
      <c r="B307" s="40"/>
      <c r="C307" s="40"/>
      <c r="D307" s="40"/>
      <c r="E307" s="40"/>
      <c r="F307" s="40"/>
      <c r="G307" s="40"/>
    </row>
    <row r="308" spans="1:7">
      <c r="A308" s="39"/>
      <c r="B308" s="39"/>
      <c r="C308" s="39"/>
      <c r="D308" s="39"/>
      <c r="E308" s="39"/>
      <c r="F308" s="39"/>
      <c r="G308" s="39"/>
    </row>
    <row r="309" spans="1:7">
      <c r="A309" s="40"/>
      <c r="B309" s="40"/>
      <c r="C309" s="40"/>
      <c r="D309" s="40"/>
      <c r="E309" s="40"/>
      <c r="F309" s="40"/>
      <c r="G309" s="40"/>
    </row>
    <row r="310" spans="1:7">
      <c r="A310" s="39"/>
      <c r="B310" s="39"/>
      <c r="C310" s="39"/>
      <c r="D310" s="39"/>
      <c r="E310" s="39"/>
      <c r="F310" s="39"/>
      <c r="G310" s="39"/>
    </row>
    <row r="311" spans="1:7">
      <c r="A311" s="40"/>
      <c r="B311" s="40"/>
      <c r="C311" s="40"/>
      <c r="D311" s="40"/>
      <c r="E311" s="40"/>
      <c r="F311" s="40"/>
      <c r="G311" s="40"/>
    </row>
    <row r="312" spans="1:7">
      <c r="A312" s="39"/>
      <c r="B312" s="39"/>
      <c r="C312" s="39"/>
      <c r="D312" s="39"/>
      <c r="E312" s="39"/>
      <c r="F312" s="39"/>
      <c r="G312" s="39"/>
    </row>
    <row r="313" spans="1:7">
      <c r="A313" s="40"/>
      <c r="B313" s="40"/>
      <c r="C313" s="40"/>
      <c r="D313" s="40"/>
      <c r="E313" s="40"/>
      <c r="F313" s="40"/>
      <c r="G313" s="40"/>
    </row>
    <row r="314" spans="1:7">
      <c r="A314" s="39"/>
      <c r="B314" s="39"/>
      <c r="C314" s="39"/>
      <c r="D314" s="39"/>
      <c r="E314" s="39"/>
      <c r="F314" s="39"/>
      <c r="G314" s="39"/>
    </row>
    <row r="315" spans="1:7">
      <c r="A315" s="40"/>
      <c r="B315" s="40"/>
      <c r="C315" s="40"/>
      <c r="D315" s="40"/>
      <c r="E315" s="40"/>
      <c r="F315" s="40"/>
      <c r="G315" s="40"/>
    </row>
    <row r="316" spans="1:7">
      <c r="A316" s="39"/>
      <c r="B316" s="39"/>
      <c r="C316" s="39"/>
      <c r="D316" s="39"/>
      <c r="E316" s="39"/>
      <c r="F316" s="39"/>
      <c r="G316" s="39"/>
    </row>
    <row r="317" spans="1:7">
      <c r="A317" s="40"/>
      <c r="B317" s="40"/>
      <c r="C317" s="40"/>
      <c r="D317" s="40"/>
      <c r="E317" s="40"/>
      <c r="F317" s="40"/>
      <c r="G317" s="40"/>
    </row>
    <row r="318" spans="1:7">
      <c r="A318" s="39"/>
      <c r="B318" s="39"/>
      <c r="C318" s="39"/>
      <c r="D318" s="39"/>
      <c r="E318" s="39"/>
      <c r="F318" s="39"/>
      <c r="G318" s="39"/>
    </row>
    <row r="319" spans="1:7">
      <c r="A319" s="40"/>
      <c r="B319" s="40"/>
      <c r="C319" s="40"/>
      <c r="D319" s="40"/>
      <c r="E319" s="40"/>
      <c r="F319" s="40"/>
      <c r="G319" s="40"/>
    </row>
    <row r="320" spans="1:7">
      <c r="A320" s="39"/>
      <c r="B320" s="39"/>
      <c r="C320" s="39"/>
      <c r="D320" s="39"/>
      <c r="E320" s="39"/>
      <c r="F320" s="39"/>
      <c r="G320" s="39"/>
    </row>
    <row r="321" spans="1:7">
      <c r="A321" s="40"/>
      <c r="B321" s="40"/>
      <c r="C321" s="40"/>
      <c r="D321" s="40"/>
      <c r="E321" s="40"/>
      <c r="F321" s="40"/>
      <c r="G321" s="40"/>
    </row>
    <row r="322" spans="1:7">
      <c r="A322" s="39"/>
      <c r="B322" s="39"/>
      <c r="C322" s="39"/>
      <c r="D322" s="39"/>
      <c r="E322" s="39"/>
      <c r="F322" s="39"/>
      <c r="G322" s="39"/>
    </row>
    <row r="323" spans="1:7">
      <c r="A323" s="40"/>
      <c r="B323" s="40"/>
      <c r="C323" s="40"/>
      <c r="D323" s="40"/>
      <c r="E323" s="40"/>
      <c r="F323" s="40"/>
      <c r="G323" s="40"/>
    </row>
    <row r="324" spans="1:7">
      <c r="A324" s="39"/>
      <c r="B324" s="39"/>
      <c r="C324" s="39"/>
      <c r="D324" s="39"/>
      <c r="E324" s="39"/>
      <c r="F324" s="39"/>
      <c r="G324" s="39"/>
    </row>
    <row r="325" spans="1:7">
      <c r="A325" s="40"/>
      <c r="B325" s="40"/>
      <c r="C325" s="40"/>
      <c r="D325" s="40"/>
      <c r="E325" s="40"/>
      <c r="F325" s="40"/>
      <c r="G325" s="40"/>
    </row>
    <row r="326" spans="1:7">
      <c r="A326" s="39"/>
      <c r="B326" s="39"/>
      <c r="C326" s="39"/>
      <c r="D326" s="39"/>
      <c r="E326" s="39"/>
      <c r="F326" s="39"/>
      <c r="G326" s="39"/>
    </row>
    <row r="327" spans="1:7">
      <c r="A327" s="40"/>
      <c r="B327" s="40"/>
      <c r="C327" s="40"/>
      <c r="D327" s="40"/>
      <c r="E327" s="40"/>
      <c r="F327" s="40"/>
      <c r="G327" s="40"/>
    </row>
    <row r="328" spans="1:7">
      <c r="A328" s="39"/>
      <c r="B328" s="39"/>
      <c r="C328" s="39"/>
      <c r="D328" s="39"/>
      <c r="E328" s="39"/>
      <c r="F328" s="39"/>
      <c r="G328" s="39"/>
    </row>
    <row r="329" spans="1:7">
      <c r="A329" s="40"/>
      <c r="B329" s="40"/>
      <c r="C329" s="40"/>
      <c r="D329" s="40"/>
      <c r="E329" s="40"/>
      <c r="F329" s="40"/>
      <c r="G329" s="40"/>
    </row>
    <row r="330" spans="1:7">
      <c r="A330" s="39"/>
      <c r="B330" s="39"/>
      <c r="C330" s="39"/>
      <c r="D330" s="39"/>
      <c r="E330" s="39"/>
      <c r="F330" s="39"/>
      <c r="G330" s="39"/>
    </row>
    <row r="331" spans="1:7">
      <c r="A331" s="40"/>
      <c r="B331" s="40"/>
      <c r="C331" s="40"/>
      <c r="D331" s="40"/>
      <c r="E331" s="40"/>
      <c r="F331" s="40"/>
      <c r="G331" s="40"/>
    </row>
    <row r="332" spans="1:7">
      <c r="A332" s="39"/>
      <c r="B332" s="39"/>
      <c r="C332" s="39"/>
      <c r="D332" s="39"/>
      <c r="E332" s="39"/>
      <c r="F332" s="39"/>
      <c r="G332" s="39"/>
    </row>
    <row r="333" spans="1:7">
      <c r="A333" s="40"/>
      <c r="B333" s="40"/>
      <c r="C333" s="40"/>
      <c r="D333" s="40"/>
      <c r="E333" s="40"/>
      <c r="F333" s="40"/>
      <c r="G333" s="40"/>
    </row>
    <row r="334" spans="1:7">
      <c r="A334" s="39"/>
      <c r="B334" s="39"/>
      <c r="C334" s="39"/>
      <c r="D334" s="39"/>
      <c r="E334" s="39"/>
      <c r="F334" s="39"/>
      <c r="G334" s="39"/>
    </row>
    <row r="335" spans="1:7">
      <c r="A335" s="40"/>
      <c r="B335" s="40"/>
      <c r="C335" s="40"/>
      <c r="D335" s="40"/>
      <c r="E335" s="40"/>
      <c r="F335" s="40"/>
      <c r="G335" s="40"/>
    </row>
    <row r="336" spans="1:7">
      <c r="A336" s="39"/>
      <c r="B336" s="39"/>
      <c r="C336" s="39"/>
      <c r="D336" s="39"/>
      <c r="E336" s="39"/>
      <c r="F336" s="39"/>
      <c r="G336" s="39"/>
    </row>
    <row r="337" spans="1:7">
      <c r="A337" s="40"/>
      <c r="B337" s="40"/>
      <c r="C337" s="40"/>
      <c r="D337" s="40"/>
      <c r="E337" s="40"/>
      <c r="F337" s="40"/>
      <c r="G337" s="40"/>
    </row>
    <row r="338" spans="1:7">
      <c r="A338" s="39"/>
      <c r="B338" s="39"/>
      <c r="C338" s="39"/>
      <c r="D338" s="39"/>
      <c r="E338" s="39"/>
      <c r="F338" s="39"/>
      <c r="G338" s="39"/>
    </row>
    <row r="339" spans="1:7">
      <c r="A339" s="40"/>
      <c r="B339" s="40"/>
      <c r="C339" s="40"/>
      <c r="D339" s="40"/>
      <c r="E339" s="40"/>
      <c r="F339" s="40"/>
      <c r="G339" s="40"/>
    </row>
    <row r="340" spans="1:7">
      <c r="A340" s="39"/>
      <c r="B340" s="39"/>
      <c r="C340" s="39"/>
      <c r="D340" s="39"/>
      <c r="E340" s="39"/>
      <c r="F340" s="39"/>
      <c r="G340" s="39"/>
    </row>
    <row r="341" spans="1:7">
      <c r="A341" s="40"/>
      <c r="B341" s="40"/>
      <c r="C341" s="40"/>
      <c r="D341" s="40"/>
      <c r="E341" s="40"/>
      <c r="F341" s="40"/>
      <c r="G341" s="40"/>
    </row>
    <row r="342" spans="1:7">
      <c r="A342" s="39"/>
      <c r="B342" s="39"/>
      <c r="C342" s="39"/>
      <c r="D342" s="39"/>
      <c r="E342" s="39"/>
      <c r="F342" s="39"/>
      <c r="G342" s="39"/>
    </row>
    <row r="343" spans="1:7">
      <c r="A343" s="40"/>
      <c r="B343" s="40"/>
      <c r="C343" s="40"/>
      <c r="D343" s="40"/>
      <c r="E343" s="40"/>
      <c r="F343" s="40"/>
      <c r="G343" s="40"/>
    </row>
    <row r="344" spans="1:7">
      <c r="A344" s="39"/>
      <c r="B344" s="39"/>
      <c r="C344" s="39"/>
      <c r="D344" s="39"/>
      <c r="E344" s="39"/>
      <c r="F344" s="39"/>
      <c r="G344" s="39"/>
    </row>
    <row r="345" spans="1:7">
      <c r="A345" s="40"/>
      <c r="B345" s="40"/>
      <c r="C345" s="40"/>
      <c r="D345" s="40"/>
      <c r="E345" s="40"/>
      <c r="F345" s="40"/>
      <c r="G345" s="40"/>
    </row>
    <row r="346" spans="1:7">
      <c r="A346" s="39"/>
      <c r="B346" s="39"/>
      <c r="C346" s="39"/>
      <c r="D346" s="39"/>
      <c r="E346" s="39"/>
      <c r="F346" s="39"/>
      <c r="G346" s="39"/>
    </row>
    <row r="347" spans="1:7">
      <c r="A347" s="40"/>
      <c r="B347" s="40"/>
      <c r="C347" s="40"/>
      <c r="D347" s="40"/>
      <c r="E347" s="40"/>
      <c r="F347" s="40"/>
      <c r="G347" s="40"/>
    </row>
    <row r="348" spans="1:7">
      <c r="A348" s="39"/>
      <c r="B348" s="39"/>
      <c r="C348" s="39"/>
      <c r="D348" s="39"/>
      <c r="E348" s="39"/>
      <c r="F348" s="39"/>
      <c r="G348" s="39"/>
    </row>
    <row r="349" spans="1:7">
      <c r="A349" s="40"/>
      <c r="B349" s="40"/>
      <c r="C349" s="40"/>
      <c r="D349" s="40"/>
      <c r="E349" s="40"/>
      <c r="F349" s="40"/>
      <c r="G349" s="40"/>
    </row>
    <row r="350" spans="1:7">
      <c r="A350" s="39"/>
      <c r="B350" s="39"/>
      <c r="C350" s="39"/>
      <c r="D350" s="39"/>
      <c r="E350" s="39"/>
      <c r="F350" s="39"/>
      <c r="G350" s="39"/>
    </row>
    <row r="351" spans="1:7">
      <c r="A351" s="40"/>
      <c r="B351" s="40"/>
      <c r="C351" s="40"/>
      <c r="D351" s="40"/>
      <c r="E351" s="40"/>
      <c r="F351" s="40"/>
      <c r="G351" s="40"/>
    </row>
    <row r="352" spans="1:7">
      <c r="A352" s="39"/>
      <c r="B352" s="39"/>
      <c r="C352" s="39"/>
      <c r="D352" s="39"/>
      <c r="E352" s="39"/>
      <c r="F352" s="39"/>
      <c r="G352" s="39"/>
    </row>
    <row r="353" spans="1:7">
      <c r="A353" s="40"/>
      <c r="B353" s="40"/>
      <c r="C353" s="40"/>
      <c r="D353" s="40"/>
      <c r="E353" s="40"/>
      <c r="F353" s="40"/>
      <c r="G353" s="40"/>
    </row>
    <row r="354" spans="1:7">
      <c r="A354" s="39"/>
      <c r="B354" s="39"/>
      <c r="C354" s="39"/>
      <c r="D354" s="39"/>
      <c r="E354" s="39"/>
      <c r="F354" s="39"/>
      <c r="G354" s="39"/>
    </row>
    <row r="355" spans="1:7">
      <c r="A355" s="40"/>
      <c r="B355" s="40"/>
      <c r="C355" s="40"/>
      <c r="D355" s="40"/>
      <c r="E355" s="40"/>
      <c r="F355" s="40"/>
      <c r="G355" s="40"/>
    </row>
    <row r="356" spans="1:7">
      <c r="A356" s="39"/>
      <c r="B356" s="39"/>
      <c r="C356" s="39"/>
      <c r="D356" s="39"/>
      <c r="E356" s="39"/>
      <c r="F356" s="39"/>
      <c r="G356" s="39"/>
    </row>
    <row r="357" spans="1:7">
      <c r="A357" s="40"/>
      <c r="B357" s="40"/>
      <c r="C357" s="40"/>
      <c r="D357" s="40"/>
      <c r="E357" s="40"/>
      <c r="F357" s="40"/>
      <c r="G357" s="40"/>
    </row>
    <row r="358" spans="1:7">
      <c r="A358" s="39"/>
      <c r="B358" s="39"/>
      <c r="C358" s="39"/>
      <c r="D358" s="39"/>
      <c r="E358" s="39"/>
      <c r="F358" s="39"/>
      <c r="G358" s="39"/>
    </row>
    <row r="359" spans="1:7">
      <c r="A359" s="40"/>
      <c r="B359" s="40"/>
      <c r="C359" s="40"/>
      <c r="D359" s="40"/>
      <c r="E359" s="40"/>
      <c r="F359" s="40"/>
      <c r="G359" s="40"/>
    </row>
    <row r="360" spans="1:7">
      <c r="A360" s="39"/>
      <c r="B360" s="39"/>
      <c r="C360" s="39"/>
      <c r="D360" s="39"/>
      <c r="E360" s="39"/>
      <c r="F360" s="39"/>
      <c r="G360" s="39"/>
    </row>
    <row r="361" spans="1:7">
      <c r="A361" s="40"/>
      <c r="B361" s="40"/>
      <c r="C361" s="40"/>
      <c r="D361" s="40"/>
      <c r="E361" s="40"/>
      <c r="F361" s="40"/>
      <c r="G361" s="40"/>
    </row>
    <row r="362" spans="1:7">
      <c r="A362" s="39"/>
      <c r="B362" s="39"/>
      <c r="C362" s="39"/>
      <c r="D362" s="39"/>
      <c r="E362" s="39"/>
      <c r="F362" s="39"/>
      <c r="G362" s="39"/>
    </row>
    <row r="363" spans="1:7">
      <c r="A363" s="40"/>
      <c r="B363" s="40"/>
      <c r="C363" s="40"/>
      <c r="D363" s="40"/>
      <c r="E363" s="40"/>
      <c r="F363" s="40"/>
      <c r="G363" s="40"/>
    </row>
    <row r="364" spans="1:7">
      <c r="A364" s="39"/>
      <c r="B364" s="39"/>
      <c r="C364" s="39"/>
      <c r="D364" s="39"/>
      <c r="E364" s="39"/>
      <c r="F364" s="39"/>
      <c r="G364" s="39"/>
    </row>
    <row r="365" spans="1:7">
      <c r="A365" s="40"/>
      <c r="B365" s="40"/>
      <c r="C365" s="40"/>
      <c r="D365" s="40"/>
      <c r="E365" s="40"/>
      <c r="F365" s="40"/>
      <c r="G365" s="40"/>
    </row>
    <row r="366" spans="1:7">
      <c r="A366" s="39"/>
      <c r="B366" s="39"/>
      <c r="C366" s="39"/>
      <c r="D366" s="39"/>
      <c r="E366" s="39"/>
      <c r="F366" s="39"/>
      <c r="G366" s="39"/>
    </row>
    <row r="367" spans="1:7">
      <c r="A367" s="40"/>
      <c r="B367" s="40"/>
      <c r="C367" s="40"/>
      <c r="D367" s="40"/>
      <c r="E367" s="40"/>
      <c r="F367" s="40"/>
      <c r="G367" s="40"/>
    </row>
    <row r="368" spans="1:7">
      <c r="A368" s="39"/>
      <c r="B368" s="39"/>
      <c r="C368" s="39"/>
      <c r="D368" s="39"/>
      <c r="E368" s="39"/>
      <c r="F368" s="39"/>
      <c r="G368" s="39"/>
    </row>
    <row r="369" spans="1:7">
      <c r="A369" s="40"/>
      <c r="B369" s="40"/>
      <c r="C369" s="40"/>
      <c r="D369" s="40"/>
      <c r="E369" s="40"/>
      <c r="F369" s="40"/>
      <c r="G369" s="40"/>
    </row>
    <row r="370" spans="1:7">
      <c r="A370" s="39"/>
      <c r="B370" s="39"/>
      <c r="C370" s="39"/>
      <c r="D370" s="39"/>
      <c r="E370" s="39"/>
      <c r="F370" s="39"/>
      <c r="G370" s="39"/>
    </row>
    <row r="371" spans="1:7">
      <c r="A371" s="40"/>
      <c r="B371" s="40"/>
      <c r="C371" s="40"/>
      <c r="D371" s="40"/>
      <c r="E371" s="40"/>
      <c r="F371" s="40"/>
      <c r="G371" s="40"/>
    </row>
    <row r="372" spans="1:7">
      <c r="A372" s="39"/>
      <c r="B372" s="39"/>
      <c r="C372" s="39"/>
      <c r="D372" s="39"/>
      <c r="E372" s="39"/>
      <c r="F372" s="39"/>
      <c r="G372" s="39"/>
    </row>
    <row r="373" spans="1:7">
      <c r="A373" s="40"/>
      <c r="B373" s="40"/>
      <c r="C373" s="40"/>
      <c r="D373" s="40"/>
      <c r="E373" s="40"/>
      <c r="F373" s="40"/>
      <c r="G373" s="40"/>
    </row>
    <row r="374" spans="1:7">
      <c r="A374" s="39"/>
      <c r="B374" s="39"/>
      <c r="C374" s="39"/>
      <c r="D374" s="39"/>
      <c r="E374" s="39"/>
      <c r="F374" s="39"/>
      <c r="G374" s="39"/>
    </row>
    <row r="375" spans="1:7">
      <c r="A375" s="40"/>
      <c r="B375" s="40"/>
      <c r="C375" s="40"/>
      <c r="D375" s="40"/>
      <c r="E375" s="40"/>
      <c r="F375" s="40"/>
      <c r="G375" s="40"/>
    </row>
    <row r="376" spans="1:7">
      <c r="A376" s="39"/>
      <c r="B376" s="39"/>
      <c r="C376" s="39"/>
      <c r="D376" s="39"/>
      <c r="E376" s="39"/>
      <c r="F376" s="39"/>
      <c r="G376" s="39"/>
    </row>
    <row r="377" spans="1:7">
      <c r="A377" s="40"/>
      <c r="B377" s="40"/>
      <c r="C377" s="40"/>
      <c r="D377" s="40"/>
      <c r="E377" s="40"/>
      <c r="F377" s="40"/>
      <c r="G377" s="40"/>
    </row>
    <row r="378" spans="1:7">
      <c r="A378" s="39"/>
      <c r="B378" s="39"/>
      <c r="C378" s="39"/>
      <c r="D378" s="39"/>
      <c r="E378" s="39"/>
      <c r="F378" s="39"/>
      <c r="G378" s="39"/>
    </row>
    <row r="379" spans="1:7">
      <c r="A379" s="40"/>
      <c r="B379" s="40"/>
      <c r="C379" s="40"/>
      <c r="D379" s="40"/>
      <c r="E379" s="40"/>
      <c r="F379" s="40"/>
      <c r="G379" s="40"/>
    </row>
    <row r="380" spans="1:7">
      <c r="A380" s="39"/>
      <c r="B380" s="39"/>
      <c r="C380" s="39"/>
      <c r="D380" s="39"/>
      <c r="E380" s="39"/>
      <c r="F380" s="39"/>
      <c r="G380" s="39"/>
    </row>
    <row r="381" spans="1:7">
      <c r="A381" s="40"/>
      <c r="B381" s="40"/>
      <c r="C381" s="40"/>
      <c r="D381" s="40"/>
      <c r="E381" s="40"/>
      <c r="F381" s="40"/>
      <c r="G381" s="40"/>
    </row>
    <row r="382" spans="1:7">
      <c r="A382" s="39"/>
      <c r="B382" s="39"/>
      <c r="C382" s="39"/>
      <c r="D382" s="39"/>
      <c r="E382" s="39"/>
      <c r="F382" s="39"/>
      <c r="G382" s="39"/>
    </row>
    <row r="383" spans="1:7">
      <c r="A383" s="40"/>
      <c r="B383" s="40"/>
      <c r="C383" s="40"/>
      <c r="D383" s="40"/>
      <c r="E383" s="40"/>
      <c r="F383" s="40"/>
      <c r="G383" s="40"/>
    </row>
    <row r="384" spans="1:7">
      <c r="A384" s="39"/>
      <c r="B384" s="39"/>
      <c r="C384" s="39"/>
      <c r="D384" s="39"/>
      <c r="E384" s="39"/>
      <c r="F384" s="39"/>
      <c r="G384" s="39"/>
    </row>
    <row r="385" spans="1:7">
      <c r="A385" s="40"/>
      <c r="B385" s="40"/>
      <c r="C385" s="40"/>
      <c r="D385" s="40"/>
      <c r="E385" s="40"/>
      <c r="F385" s="40"/>
      <c r="G385" s="40"/>
    </row>
    <row r="386" spans="1:7">
      <c r="A386" s="39"/>
      <c r="B386" s="39"/>
      <c r="C386" s="39"/>
      <c r="D386" s="39"/>
      <c r="E386" s="39"/>
      <c r="F386" s="39"/>
      <c r="G386" s="39"/>
    </row>
    <row r="387" spans="1:7">
      <c r="A387" s="40"/>
      <c r="B387" s="40"/>
      <c r="C387" s="40"/>
      <c r="D387" s="40"/>
      <c r="E387" s="40"/>
      <c r="F387" s="40"/>
      <c r="G387" s="40"/>
    </row>
    <row r="388" spans="1:7">
      <c r="A388" s="39"/>
      <c r="B388" s="39"/>
      <c r="C388" s="39"/>
      <c r="D388" s="39"/>
      <c r="E388" s="39"/>
      <c r="F388" s="39"/>
      <c r="G388" s="39"/>
    </row>
    <row r="389" spans="1:7">
      <c r="A389" s="40"/>
      <c r="B389" s="40"/>
      <c r="C389" s="40"/>
      <c r="D389" s="40"/>
      <c r="E389" s="40"/>
      <c r="F389" s="40"/>
      <c r="G389" s="40"/>
    </row>
    <row r="390" spans="1:7">
      <c r="A390" s="39"/>
      <c r="B390" s="39"/>
      <c r="C390" s="39"/>
      <c r="D390" s="39"/>
      <c r="E390" s="39"/>
      <c r="F390" s="39"/>
      <c r="G390" s="39"/>
    </row>
    <row r="391" spans="1:7">
      <c r="A391" s="40"/>
      <c r="B391" s="40"/>
      <c r="C391" s="40"/>
      <c r="D391" s="40"/>
      <c r="E391" s="40"/>
      <c r="F391" s="40"/>
      <c r="G391" s="40"/>
    </row>
    <row r="392" spans="1:7">
      <c r="A392" s="39"/>
      <c r="B392" s="39"/>
      <c r="C392" s="39"/>
      <c r="D392" s="39"/>
      <c r="E392" s="39"/>
      <c r="F392" s="39"/>
      <c r="G392" s="39"/>
    </row>
    <row r="393" spans="1:7">
      <c r="A393" s="40"/>
      <c r="B393" s="40"/>
      <c r="C393" s="40"/>
      <c r="D393" s="40"/>
      <c r="E393" s="40"/>
      <c r="F393" s="40"/>
      <c r="G393" s="40"/>
    </row>
    <row r="394" spans="1:7">
      <c r="A394" s="39"/>
      <c r="B394" s="39"/>
      <c r="C394" s="39"/>
      <c r="D394" s="39"/>
      <c r="E394" s="39"/>
      <c r="F394" s="39"/>
      <c r="G394" s="39"/>
    </row>
    <row r="395" spans="1:7">
      <c r="A395" s="40"/>
      <c r="B395" s="40"/>
      <c r="C395" s="40"/>
      <c r="D395" s="40"/>
      <c r="E395" s="40"/>
      <c r="F395" s="40"/>
      <c r="G395" s="40"/>
    </row>
    <row r="396" spans="1:7">
      <c r="A396" s="39"/>
      <c r="B396" s="39"/>
      <c r="C396" s="39"/>
      <c r="D396" s="39"/>
      <c r="E396" s="39"/>
      <c r="F396" s="39"/>
      <c r="G396" s="39"/>
    </row>
    <row r="397" spans="1:7">
      <c r="A397" s="40"/>
      <c r="B397" s="40"/>
      <c r="C397" s="40"/>
      <c r="D397" s="40"/>
      <c r="E397" s="40"/>
      <c r="F397" s="40"/>
      <c r="G397" s="40"/>
    </row>
    <row r="398" spans="1:7">
      <c r="A398" s="39"/>
      <c r="B398" s="39"/>
      <c r="C398" s="39"/>
      <c r="D398" s="39"/>
      <c r="E398" s="39"/>
      <c r="F398" s="39"/>
      <c r="G398" s="39"/>
    </row>
    <row r="399" spans="1:7">
      <c r="A399" s="40"/>
      <c r="B399" s="40"/>
      <c r="C399" s="40"/>
      <c r="D399" s="40"/>
      <c r="E399" s="40"/>
      <c r="F399" s="40"/>
      <c r="G399" s="40"/>
    </row>
    <row r="400" spans="1:7">
      <c r="A400" s="39"/>
      <c r="B400" s="39"/>
      <c r="C400" s="39"/>
      <c r="D400" s="39"/>
      <c r="E400" s="39"/>
      <c r="F400" s="39"/>
      <c r="G400" s="39"/>
    </row>
    <row r="401" spans="1:7">
      <c r="A401" s="40"/>
      <c r="B401" s="40"/>
      <c r="C401" s="40"/>
      <c r="D401" s="40"/>
      <c r="E401" s="40"/>
      <c r="F401" s="40"/>
      <c r="G401" s="40"/>
    </row>
    <row r="402" spans="1:7">
      <c r="A402" s="39"/>
      <c r="B402" s="39"/>
      <c r="C402" s="39"/>
      <c r="D402" s="39"/>
      <c r="E402" s="39"/>
      <c r="F402" s="39"/>
      <c r="G402" s="39"/>
    </row>
    <row r="403" spans="1:7">
      <c r="A403" s="40"/>
      <c r="B403" s="40"/>
      <c r="C403" s="40"/>
      <c r="D403" s="40"/>
      <c r="E403" s="40"/>
      <c r="F403" s="40"/>
      <c r="G403" s="40"/>
    </row>
    <row r="404" spans="1:7">
      <c r="A404" s="39"/>
      <c r="B404" s="39"/>
      <c r="C404" s="39"/>
      <c r="D404" s="39"/>
      <c r="E404" s="39"/>
      <c r="F404" s="39"/>
      <c r="G404" s="39"/>
    </row>
    <row r="405" spans="1:7">
      <c r="A405" s="40"/>
      <c r="B405" s="40"/>
      <c r="C405" s="40"/>
      <c r="D405" s="40"/>
      <c r="E405" s="40"/>
      <c r="F405" s="40"/>
      <c r="G405" s="40"/>
    </row>
    <row r="406" spans="1:7">
      <c r="A406" s="39"/>
      <c r="B406" s="39"/>
      <c r="C406" s="39"/>
      <c r="D406" s="39"/>
      <c r="E406" s="39"/>
      <c r="F406" s="39"/>
      <c r="G406" s="39"/>
    </row>
    <row r="407" spans="1:7">
      <c r="A407" s="40"/>
      <c r="B407" s="40"/>
      <c r="C407" s="40"/>
      <c r="D407" s="40"/>
      <c r="E407" s="40"/>
      <c r="F407" s="40"/>
      <c r="G407" s="40"/>
    </row>
    <row r="408" spans="1:7">
      <c r="A408" s="39"/>
      <c r="B408" s="39"/>
      <c r="C408" s="39"/>
      <c r="D408" s="39"/>
      <c r="E408" s="39"/>
      <c r="F408" s="39"/>
      <c r="G408" s="39"/>
    </row>
    <row r="409" spans="1:7">
      <c r="A409" s="40"/>
      <c r="B409" s="40"/>
      <c r="C409" s="40"/>
      <c r="D409" s="40"/>
      <c r="E409" s="40"/>
      <c r="F409" s="40"/>
      <c r="G409" s="40"/>
    </row>
    <row r="410" spans="1:7">
      <c r="A410" s="39"/>
      <c r="B410" s="39"/>
      <c r="C410" s="39"/>
      <c r="D410" s="39"/>
      <c r="E410" s="39"/>
      <c r="F410" s="39"/>
      <c r="G410" s="39"/>
    </row>
    <row r="411" spans="1:7">
      <c r="A411" s="40"/>
      <c r="B411" s="40"/>
      <c r="C411" s="40"/>
      <c r="D411" s="40"/>
      <c r="E411" s="40"/>
      <c r="F411" s="40"/>
      <c r="G411" s="40"/>
    </row>
    <row r="412" spans="1:7">
      <c r="A412" s="39"/>
      <c r="B412" s="39"/>
      <c r="C412" s="39"/>
      <c r="D412" s="39"/>
      <c r="E412" s="39"/>
      <c r="F412" s="39"/>
      <c r="G412" s="39"/>
    </row>
    <row r="413" spans="1:7">
      <c r="A413" s="40"/>
      <c r="B413" s="40"/>
      <c r="C413" s="40"/>
      <c r="D413" s="40"/>
      <c r="E413" s="40"/>
      <c r="F413" s="40"/>
      <c r="G413" s="40"/>
    </row>
    <row r="414" spans="1:7">
      <c r="A414" s="39"/>
      <c r="B414" s="39"/>
      <c r="C414" s="39"/>
      <c r="D414" s="39"/>
      <c r="E414" s="39"/>
      <c r="F414" s="39"/>
      <c r="G414" s="39"/>
    </row>
    <row r="415" spans="1:7">
      <c r="A415" s="40"/>
      <c r="B415" s="40"/>
      <c r="C415" s="40"/>
      <c r="D415" s="40"/>
      <c r="E415" s="40"/>
      <c r="F415" s="40"/>
      <c r="G415" s="40"/>
    </row>
    <row r="416" spans="1:7">
      <c r="A416" s="39"/>
      <c r="B416" s="39"/>
      <c r="C416" s="39"/>
      <c r="D416" s="39"/>
      <c r="E416" s="39"/>
      <c r="F416" s="39"/>
      <c r="G416" s="39"/>
    </row>
    <row r="417" spans="1:7">
      <c r="A417" s="40"/>
      <c r="B417" s="40"/>
      <c r="C417" s="40"/>
      <c r="D417" s="40"/>
      <c r="E417" s="40"/>
      <c r="F417" s="40"/>
      <c r="G417" s="40"/>
    </row>
    <row r="418" spans="1:7">
      <c r="A418" s="39"/>
      <c r="B418" s="39"/>
      <c r="C418" s="39"/>
      <c r="D418" s="39"/>
      <c r="E418" s="39"/>
      <c r="F418" s="39"/>
      <c r="G418" s="39"/>
    </row>
    <row r="419" spans="1:7">
      <c r="A419" s="40"/>
      <c r="B419" s="40"/>
      <c r="C419" s="40"/>
      <c r="D419" s="40"/>
      <c r="E419" s="40"/>
      <c r="F419" s="40"/>
      <c r="G419" s="40"/>
    </row>
    <row r="420" spans="1:7">
      <c r="A420" s="39"/>
      <c r="B420" s="39"/>
      <c r="C420" s="39"/>
      <c r="D420" s="39"/>
      <c r="E420" s="39"/>
      <c r="F420" s="39"/>
      <c r="G420" s="39"/>
    </row>
    <row r="421" spans="1:7">
      <c r="A421" s="40"/>
      <c r="B421" s="40"/>
      <c r="C421" s="40"/>
      <c r="D421" s="40"/>
      <c r="E421" s="40"/>
      <c r="F421" s="40"/>
      <c r="G421" s="40"/>
    </row>
    <row r="422" spans="1:7">
      <c r="A422" s="39"/>
      <c r="B422" s="39"/>
      <c r="C422" s="39"/>
      <c r="D422" s="39"/>
      <c r="E422" s="39"/>
      <c r="F422" s="39"/>
      <c r="G422" s="39"/>
    </row>
    <row r="423" spans="1:7">
      <c r="A423" s="40"/>
      <c r="B423" s="40"/>
      <c r="C423" s="40"/>
      <c r="D423" s="40"/>
      <c r="E423" s="40"/>
      <c r="F423" s="40"/>
      <c r="G423" s="40"/>
    </row>
    <row r="424" spans="1:7">
      <c r="A424" s="39"/>
      <c r="B424" s="39"/>
      <c r="C424" s="39"/>
      <c r="D424" s="39"/>
      <c r="E424" s="39"/>
      <c r="F424" s="39"/>
      <c r="G424" s="39"/>
    </row>
    <row r="425" spans="1:7">
      <c r="A425" s="40"/>
      <c r="B425" s="40"/>
      <c r="C425" s="40"/>
      <c r="D425" s="40"/>
      <c r="E425" s="40"/>
      <c r="F425" s="40"/>
      <c r="G425" s="40"/>
    </row>
    <row r="426" spans="1:7">
      <c r="A426" s="39"/>
      <c r="B426" s="39"/>
      <c r="C426" s="39"/>
      <c r="D426" s="39"/>
      <c r="E426" s="39"/>
      <c r="F426" s="39"/>
      <c r="G426" s="39"/>
    </row>
    <row r="427" spans="1:7">
      <c r="A427" s="40"/>
      <c r="B427" s="40"/>
      <c r="C427" s="40"/>
      <c r="D427" s="40"/>
      <c r="E427" s="40"/>
      <c r="F427" s="40"/>
      <c r="G427" s="40"/>
    </row>
    <row r="428" spans="1:7">
      <c r="A428" s="39"/>
      <c r="B428" s="39"/>
      <c r="C428" s="39"/>
      <c r="D428" s="39"/>
      <c r="E428" s="39"/>
      <c r="F428" s="39"/>
      <c r="G428" s="39"/>
    </row>
    <row r="429" spans="1:7">
      <c r="A429" s="40"/>
      <c r="B429" s="40"/>
      <c r="C429" s="40"/>
      <c r="D429" s="40"/>
      <c r="E429" s="40"/>
      <c r="F429" s="40"/>
      <c r="G429" s="40"/>
    </row>
    <row r="430" spans="1:7">
      <c r="A430" s="39"/>
      <c r="B430" s="39"/>
      <c r="C430" s="39"/>
      <c r="D430" s="39"/>
      <c r="E430" s="39"/>
      <c r="F430" s="39"/>
      <c r="G430" s="39"/>
    </row>
    <row r="431" spans="1:7">
      <c r="A431" s="40"/>
      <c r="B431" s="40"/>
      <c r="C431" s="40"/>
      <c r="D431" s="40"/>
      <c r="E431" s="40"/>
      <c r="F431" s="40"/>
      <c r="G431" s="40"/>
    </row>
    <row r="432" spans="1:7">
      <c r="A432" s="39"/>
      <c r="B432" s="39"/>
      <c r="C432" s="39"/>
      <c r="D432" s="39"/>
      <c r="E432" s="39"/>
      <c r="F432" s="39"/>
      <c r="G432" s="39"/>
    </row>
    <row r="433" spans="1:7">
      <c r="A433" s="40"/>
      <c r="B433" s="40"/>
      <c r="C433" s="40"/>
      <c r="D433" s="40"/>
      <c r="E433" s="40"/>
      <c r="F433" s="40"/>
      <c r="G433" s="40"/>
    </row>
    <row r="434" spans="1:7">
      <c r="A434" s="39"/>
      <c r="B434" s="39"/>
      <c r="C434" s="39"/>
      <c r="D434" s="39"/>
      <c r="E434" s="39"/>
      <c r="F434" s="39"/>
      <c r="G434" s="39"/>
    </row>
    <row r="435" spans="1:7">
      <c r="A435" s="40"/>
      <c r="B435" s="40"/>
      <c r="C435" s="40"/>
      <c r="D435" s="40"/>
      <c r="E435" s="40"/>
      <c r="F435" s="40"/>
      <c r="G435" s="40"/>
    </row>
    <row r="436" spans="1:7">
      <c r="A436" s="39"/>
      <c r="B436" s="39"/>
      <c r="C436" s="39"/>
      <c r="D436" s="39"/>
      <c r="E436" s="39"/>
      <c r="F436" s="39"/>
      <c r="G436" s="39"/>
    </row>
    <row r="437" spans="1:7">
      <c r="A437" s="40"/>
      <c r="B437" s="40"/>
      <c r="C437" s="40"/>
      <c r="D437" s="40"/>
      <c r="E437" s="40"/>
      <c r="F437" s="40"/>
      <c r="G437" s="40"/>
    </row>
    <row r="438" spans="1:7">
      <c r="A438" s="39"/>
      <c r="B438" s="39"/>
      <c r="C438" s="39"/>
      <c r="D438" s="39"/>
      <c r="E438" s="39"/>
      <c r="F438" s="39"/>
      <c r="G438" s="39"/>
    </row>
    <row r="439" spans="1:7">
      <c r="A439" s="40"/>
      <c r="B439" s="40"/>
      <c r="C439" s="40"/>
      <c r="D439" s="40"/>
      <c r="E439" s="40"/>
      <c r="F439" s="40"/>
      <c r="G439" s="40"/>
    </row>
    <row r="440" spans="1:7">
      <c r="A440" s="39"/>
      <c r="B440" s="39"/>
      <c r="C440" s="39"/>
      <c r="D440" s="39"/>
      <c r="E440" s="39"/>
      <c r="F440" s="39"/>
      <c r="G440" s="39"/>
    </row>
    <row r="441" spans="1:7">
      <c r="A441" s="40"/>
      <c r="B441" s="40"/>
      <c r="C441" s="40"/>
      <c r="D441" s="40"/>
      <c r="E441" s="40"/>
      <c r="F441" s="40"/>
      <c r="G441" s="40"/>
    </row>
    <row r="442" spans="1:7">
      <c r="A442" s="39"/>
      <c r="B442" s="39"/>
      <c r="C442" s="39"/>
      <c r="D442" s="39"/>
      <c r="E442" s="39"/>
      <c r="F442" s="39"/>
      <c r="G442" s="39"/>
    </row>
    <row r="443" spans="1:7">
      <c r="A443" s="40"/>
      <c r="B443" s="40"/>
      <c r="C443" s="40"/>
      <c r="D443" s="40"/>
      <c r="E443" s="40"/>
      <c r="F443" s="40"/>
      <c r="G443" s="40"/>
    </row>
    <row r="444" spans="1:7">
      <c r="A444" s="39"/>
      <c r="B444" s="39"/>
      <c r="C444" s="39"/>
      <c r="D444" s="39"/>
      <c r="E444" s="39"/>
      <c r="F444" s="39"/>
      <c r="G444" s="39"/>
    </row>
    <row r="445" spans="1:7">
      <c r="A445" s="40"/>
      <c r="B445" s="40"/>
      <c r="C445" s="40"/>
      <c r="D445" s="40"/>
      <c r="E445" s="40"/>
      <c r="F445" s="40"/>
      <c r="G445" s="40"/>
    </row>
    <row r="446" spans="1:7">
      <c r="A446" s="39"/>
      <c r="B446" s="39"/>
      <c r="C446" s="39"/>
      <c r="D446" s="39"/>
      <c r="E446" s="39"/>
      <c r="F446" s="39"/>
      <c r="G446" s="39"/>
    </row>
    <row r="447" spans="1:7">
      <c r="A447" s="40"/>
      <c r="B447" s="40"/>
      <c r="C447" s="40"/>
      <c r="D447" s="40"/>
      <c r="E447" s="40"/>
      <c r="F447" s="40"/>
      <c r="G447" s="40"/>
    </row>
    <row r="448" spans="1:7">
      <c r="A448" s="39"/>
      <c r="B448" s="39"/>
      <c r="C448" s="39"/>
      <c r="D448" s="39"/>
      <c r="E448" s="39"/>
      <c r="F448" s="39"/>
      <c r="G448" s="39"/>
    </row>
    <row r="449" spans="1:7">
      <c r="A449" s="40"/>
      <c r="B449" s="40"/>
      <c r="C449" s="40"/>
      <c r="D449" s="40"/>
      <c r="E449" s="40"/>
      <c r="F449" s="40"/>
      <c r="G449" s="40"/>
    </row>
    <row r="450" spans="1:7">
      <c r="A450" s="39"/>
      <c r="B450" s="39"/>
      <c r="C450" s="39"/>
      <c r="D450" s="39"/>
      <c r="E450" s="39"/>
      <c r="F450" s="39"/>
      <c r="G450" s="39"/>
    </row>
    <row r="451" spans="1:7">
      <c r="A451" s="40"/>
      <c r="B451" s="40"/>
      <c r="C451" s="40"/>
      <c r="D451" s="40"/>
      <c r="E451" s="40"/>
      <c r="F451" s="40"/>
      <c r="G451" s="40"/>
    </row>
    <row r="452" spans="1:7">
      <c r="A452" s="39"/>
      <c r="B452" s="39"/>
      <c r="C452" s="39"/>
      <c r="D452" s="39"/>
      <c r="E452" s="39"/>
      <c r="F452" s="39"/>
      <c r="G452" s="39"/>
    </row>
    <row r="453" spans="1:7">
      <c r="A453" s="40"/>
      <c r="B453" s="40"/>
      <c r="C453" s="40"/>
      <c r="D453" s="40"/>
      <c r="E453" s="40"/>
      <c r="F453" s="40"/>
      <c r="G453" s="40"/>
    </row>
    <row r="454" spans="1:7">
      <c r="A454" s="39"/>
      <c r="B454" s="39"/>
      <c r="C454" s="39"/>
      <c r="D454" s="39"/>
      <c r="E454" s="39"/>
      <c r="F454" s="39"/>
      <c r="G454" s="39"/>
    </row>
    <row r="455" spans="1:7">
      <c r="A455" s="40"/>
      <c r="B455" s="40"/>
      <c r="C455" s="40"/>
      <c r="D455" s="40"/>
      <c r="E455" s="40"/>
      <c r="F455" s="40"/>
      <c r="G455" s="40"/>
    </row>
    <row r="456" spans="1:7">
      <c r="A456" s="39"/>
      <c r="B456" s="39"/>
      <c r="C456" s="39"/>
      <c r="D456" s="39"/>
      <c r="E456" s="39"/>
      <c r="F456" s="39"/>
      <c r="G456" s="39"/>
    </row>
    <row r="457" spans="1:7">
      <c r="A457" s="40"/>
      <c r="B457" s="40"/>
      <c r="C457" s="40"/>
      <c r="D457" s="40"/>
      <c r="E457" s="40"/>
      <c r="F457" s="40"/>
      <c r="G457" s="40"/>
    </row>
    <row r="458" spans="1:7">
      <c r="A458" s="39"/>
      <c r="B458" s="39"/>
      <c r="C458" s="39"/>
      <c r="D458" s="39"/>
      <c r="E458" s="39"/>
      <c r="F458" s="39"/>
      <c r="G458" s="39"/>
    </row>
    <row r="459" spans="1:7">
      <c r="A459" s="40"/>
      <c r="B459" s="40"/>
      <c r="C459" s="40"/>
      <c r="D459" s="40"/>
      <c r="E459" s="40"/>
      <c r="F459" s="40"/>
      <c r="G459" s="40"/>
    </row>
    <row r="460" spans="1:7">
      <c r="A460" s="39"/>
      <c r="B460" s="39"/>
      <c r="C460" s="39"/>
      <c r="D460" s="39"/>
      <c r="E460" s="39"/>
      <c r="F460" s="39"/>
      <c r="G460" s="39"/>
    </row>
    <row r="461" spans="1:7">
      <c r="A461" s="40"/>
      <c r="B461" s="40"/>
      <c r="C461" s="40"/>
      <c r="D461" s="40"/>
      <c r="E461" s="40"/>
      <c r="F461" s="40"/>
      <c r="G461" s="40"/>
    </row>
    <row r="462" spans="1:7">
      <c r="A462" s="39"/>
      <c r="B462" s="39"/>
      <c r="C462" s="39"/>
      <c r="D462" s="39"/>
      <c r="E462" s="39"/>
      <c r="F462" s="39"/>
      <c r="G462" s="39"/>
    </row>
    <row r="463" spans="1:7">
      <c r="A463" s="40"/>
      <c r="B463" s="40"/>
      <c r="C463" s="40"/>
      <c r="D463" s="40"/>
      <c r="E463" s="40"/>
      <c r="F463" s="40"/>
      <c r="G463" s="40"/>
    </row>
    <row r="464" spans="1:7">
      <c r="A464" s="39"/>
      <c r="B464" s="39"/>
      <c r="C464" s="39"/>
      <c r="D464" s="39"/>
      <c r="E464" s="39"/>
      <c r="F464" s="39"/>
      <c r="G464" s="39"/>
    </row>
    <row r="465" spans="1:7">
      <c r="A465" s="40"/>
      <c r="B465" s="40"/>
      <c r="C465" s="40"/>
      <c r="D465" s="40"/>
      <c r="E465" s="40"/>
      <c r="F465" s="40"/>
      <c r="G465" s="40"/>
    </row>
    <row r="466" spans="1:7">
      <c r="A466" s="39"/>
      <c r="B466" s="39"/>
      <c r="C466" s="39"/>
      <c r="D466" s="39"/>
      <c r="E466" s="39"/>
      <c r="F466" s="39"/>
      <c r="G466" s="39"/>
    </row>
    <row r="467" spans="1:7">
      <c r="A467" s="40"/>
      <c r="B467" s="40"/>
      <c r="C467" s="40"/>
      <c r="D467" s="40"/>
      <c r="E467" s="40"/>
      <c r="F467" s="40"/>
      <c r="G467" s="40"/>
    </row>
    <row r="468" spans="1:7">
      <c r="A468" s="39"/>
      <c r="B468" s="39"/>
      <c r="C468" s="39"/>
      <c r="D468" s="39"/>
      <c r="E468" s="39"/>
      <c r="F468" s="39"/>
      <c r="G468" s="39"/>
    </row>
    <row r="469" spans="1:7">
      <c r="A469" s="40"/>
      <c r="B469" s="40"/>
      <c r="C469" s="40"/>
      <c r="D469" s="40"/>
      <c r="E469" s="40"/>
      <c r="F469" s="40"/>
      <c r="G469" s="40"/>
    </row>
    <row r="470" spans="1:7">
      <c r="A470" s="39"/>
      <c r="B470" s="39"/>
      <c r="C470" s="39"/>
      <c r="D470" s="39"/>
      <c r="E470" s="39"/>
      <c r="F470" s="39"/>
      <c r="G470" s="39"/>
    </row>
    <row r="471" spans="1:7">
      <c r="A471" s="40"/>
      <c r="B471" s="40"/>
      <c r="C471" s="40"/>
      <c r="D471" s="40"/>
      <c r="E471" s="40"/>
      <c r="F471" s="40"/>
      <c r="G471" s="40"/>
    </row>
    <row r="472" spans="1:7">
      <c r="A472" s="39"/>
      <c r="B472" s="39"/>
      <c r="C472" s="39"/>
      <c r="D472" s="39"/>
      <c r="E472" s="39"/>
      <c r="F472" s="39"/>
      <c r="G472" s="39"/>
    </row>
    <row r="473" spans="1:7">
      <c r="A473" s="40"/>
      <c r="B473" s="40"/>
      <c r="C473" s="40"/>
      <c r="D473" s="40"/>
      <c r="E473" s="40"/>
      <c r="F473" s="40"/>
      <c r="G473" s="40"/>
    </row>
    <row r="474" spans="1:7">
      <c r="A474" s="39"/>
      <c r="B474" s="39"/>
      <c r="C474" s="39"/>
      <c r="D474" s="39"/>
      <c r="E474" s="39"/>
      <c r="F474" s="39"/>
      <c r="G474" s="39"/>
    </row>
    <row r="475" spans="1:7">
      <c r="A475" s="40"/>
      <c r="B475" s="40"/>
      <c r="C475" s="40"/>
      <c r="D475" s="40"/>
      <c r="E475" s="40"/>
      <c r="F475" s="40"/>
      <c r="G475" s="40"/>
    </row>
    <row r="476" spans="1:7">
      <c r="A476" s="39"/>
      <c r="B476" s="39"/>
      <c r="C476" s="39"/>
      <c r="D476" s="39"/>
      <c r="E476" s="39"/>
      <c r="F476" s="39"/>
      <c r="G476" s="39"/>
    </row>
    <row r="477" spans="1:7">
      <c r="A477" s="40"/>
      <c r="B477" s="40"/>
      <c r="C477" s="40"/>
      <c r="D477" s="40"/>
      <c r="E477" s="40"/>
      <c r="F477" s="40"/>
      <c r="G477" s="40"/>
    </row>
    <row r="478" spans="1:7">
      <c r="A478" s="39"/>
      <c r="B478" s="39"/>
      <c r="C478" s="39"/>
      <c r="D478" s="39"/>
      <c r="E478" s="39"/>
      <c r="F478" s="39"/>
      <c r="G478" s="39"/>
    </row>
    <row r="479" spans="1:7">
      <c r="A479" s="40"/>
      <c r="B479" s="40"/>
      <c r="C479" s="40"/>
      <c r="D479" s="40"/>
      <c r="E479" s="40"/>
      <c r="F479" s="40"/>
      <c r="G479" s="40"/>
    </row>
    <row r="480" spans="1:7">
      <c r="A480" s="39"/>
      <c r="B480" s="39"/>
      <c r="C480" s="39"/>
      <c r="D480" s="39"/>
      <c r="E480" s="39"/>
      <c r="F480" s="39"/>
      <c r="G480" s="39"/>
    </row>
    <row r="481" spans="1:7">
      <c r="A481" s="40"/>
      <c r="B481" s="40"/>
      <c r="C481" s="40"/>
      <c r="D481" s="40"/>
      <c r="E481" s="40"/>
      <c r="F481" s="40"/>
      <c r="G481" s="40"/>
    </row>
    <row r="482" spans="1:7">
      <c r="A482" s="39"/>
      <c r="B482" s="39"/>
      <c r="C482" s="39"/>
      <c r="D482" s="39"/>
      <c r="E482" s="39"/>
      <c r="F482" s="39"/>
      <c r="G482" s="39"/>
    </row>
    <row r="483" spans="1:7">
      <c r="A483" s="40"/>
      <c r="B483" s="40"/>
      <c r="C483" s="40"/>
      <c r="D483" s="40"/>
      <c r="E483" s="40"/>
      <c r="F483" s="40"/>
      <c r="G483" s="40"/>
    </row>
    <row r="484" spans="1:7">
      <c r="A484" s="39"/>
      <c r="B484" s="39"/>
      <c r="C484" s="39"/>
      <c r="D484" s="39"/>
      <c r="E484" s="39"/>
      <c r="F484" s="39"/>
      <c r="G484" s="39"/>
    </row>
    <row r="485" spans="1:7">
      <c r="A485" s="40"/>
      <c r="B485" s="40"/>
      <c r="C485" s="40"/>
      <c r="D485" s="40"/>
      <c r="E485" s="40"/>
      <c r="F485" s="40"/>
      <c r="G485" s="40"/>
    </row>
    <row r="486" spans="1:7">
      <c r="A486" s="39"/>
      <c r="B486" s="39"/>
      <c r="C486" s="39"/>
      <c r="D486" s="39"/>
      <c r="E486" s="39"/>
      <c r="F486" s="39"/>
      <c r="G486" s="39"/>
    </row>
    <row r="487" spans="1:7">
      <c r="A487" s="40"/>
      <c r="B487" s="40"/>
      <c r="C487" s="40"/>
      <c r="D487" s="40"/>
      <c r="E487" s="40"/>
      <c r="F487" s="40"/>
      <c r="G487" s="40"/>
    </row>
    <row r="488" spans="1:7">
      <c r="A488" s="39"/>
      <c r="B488" s="39"/>
      <c r="C488" s="39"/>
      <c r="D488" s="39"/>
      <c r="E488" s="39"/>
      <c r="F488" s="39"/>
      <c r="G488" s="39"/>
    </row>
    <row r="489" spans="1:7">
      <c r="A489" s="40"/>
      <c r="B489" s="40"/>
      <c r="C489" s="40"/>
      <c r="D489" s="40"/>
      <c r="E489" s="40"/>
      <c r="F489" s="40"/>
      <c r="G489" s="40"/>
    </row>
    <row r="490" spans="1:7">
      <c r="A490" s="39"/>
      <c r="B490" s="39"/>
      <c r="C490" s="39"/>
      <c r="D490" s="39"/>
      <c r="E490" s="39"/>
      <c r="F490" s="39"/>
      <c r="G490" s="39"/>
    </row>
    <row r="491" spans="1:7">
      <c r="A491" s="40"/>
      <c r="B491" s="40"/>
      <c r="C491" s="40"/>
      <c r="D491" s="40"/>
      <c r="E491" s="40"/>
      <c r="F491" s="40"/>
      <c r="G491" s="40"/>
    </row>
    <row r="492" spans="1:7">
      <c r="A492" s="39"/>
      <c r="B492" s="39"/>
      <c r="C492" s="39"/>
      <c r="D492" s="39"/>
      <c r="E492" s="39"/>
      <c r="F492" s="39"/>
      <c r="G492" s="39"/>
    </row>
    <row r="493" spans="1:7">
      <c r="A493" s="40"/>
      <c r="B493" s="40"/>
      <c r="C493" s="40"/>
      <c r="D493" s="40"/>
      <c r="E493" s="40"/>
      <c r="F493" s="40"/>
      <c r="G493" s="40"/>
    </row>
    <row r="494" spans="1:7">
      <c r="A494" s="39"/>
      <c r="B494" s="39"/>
      <c r="C494" s="39"/>
      <c r="D494" s="39"/>
      <c r="E494" s="39"/>
      <c r="F494" s="39"/>
      <c r="G494" s="39"/>
    </row>
    <row r="495" spans="1:7">
      <c r="A495" s="40"/>
      <c r="B495" s="40"/>
      <c r="C495" s="40"/>
      <c r="D495" s="40"/>
      <c r="E495" s="40"/>
      <c r="F495" s="40"/>
      <c r="G495" s="40"/>
    </row>
    <row r="496" spans="1:7">
      <c r="A496" s="39"/>
      <c r="B496" s="39"/>
      <c r="C496" s="39"/>
      <c r="D496" s="39"/>
      <c r="E496" s="39"/>
      <c r="F496" s="39"/>
      <c r="G496" s="39"/>
    </row>
    <row r="497" spans="1:7">
      <c r="A497" s="40"/>
      <c r="B497" s="40"/>
      <c r="C497" s="40"/>
      <c r="D497" s="40"/>
      <c r="E497" s="40"/>
      <c r="F497" s="40"/>
      <c r="G497" s="40"/>
    </row>
    <row r="498" spans="1:7">
      <c r="A498" s="39"/>
      <c r="B498" s="39"/>
      <c r="C498" s="39"/>
      <c r="D498" s="39"/>
      <c r="E498" s="39"/>
      <c r="F498" s="39"/>
      <c r="G498" s="39"/>
    </row>
    <row r="499" spans="1:7">
      <c r="A499" s="40"/>
      <c r="B499" s="40"/>
      <c r="C499" s="40"/>
      <c r="D499" s="40"/>
      <c r="E499" s="40"/>
      <c r="F499" s="40"/>
      <c r="G499" s="40"/>
    </row>
    <row r="500" spans="1:7">
      <c r="A500" s="39"/>
      <c r="B500" s="39"/>
      <c r="C500" s="39"/>
      <c r="D500" s="39"/>
      <c r="E500" s="39"/>
      <c r="F500" s="39"/>
      <c r="G500" s="39"/>
    </row>
    <row r="501" spans="1:7">
      <c r="A501" s="40"/>
      <c r="B501" s="40"/>
      <c r="C501" s="40"/>
      <c r="D501" s="40"/>
      <c r="E501" s="40"/>
      <c r="F501" s="40"/>
      <c r="G501" s="40"/>
    </row>
    <row r="502" spans="1:7">
      <c r="A502" s="39"/>
      <c r="B502" s="39"/>
      <c r="C502" s="39"/>
      <c r="D502" s="39"/>
      <c r="E502" s="39"/>
      <c r="F502" s="39"/>
      <c r="G502" s="39"/>
    </row>
    <row r="503" spans="1:7">
      <c r="A503" s="40"/>
      <c r="B503" s="40"/>
      <c r="C503" s="40"/>
      <c r="D503" s="40"/>
      <c r="E503" s="40"/>
      <c r="F503" s="40"/>
      <c r="G503" s="40"/>
    </row>
    <row r="504" spans="1:7">
      <c r="A504" s="39"/>
      <c r="B504" s="39"/>
      <c r="C504" s="39"/>
      <c r="D504" s="39"/>
      <c r="E504" s="39"/>
      <c r="F504" s="39"/>
      <c r="G504" s="39"/>
    </row>
    <row r="505" spans="1:7">
      <c r="A505" s="40"/>
      <c r="B505" s="40"/>
      <c r="C505" s="40"/>
      <c r="D505" s="40"/>
      <c r="E505" s="40"/>
      <c r="F505" s="40"/>
      <c r="G505" s="40"/>
    </row>
    <row r="506" spans="1:7">
      <c r="A506" s="39"/>
      <c r="B506" s="39"/>
      <c r="C506" s="39"/>
      <c r="D506" s="39"/>
      <c r="E506" s="39"/>
      <c r="F506" s="39"/>
      <c r="G506" s="39"/>
    </row>
    <row r="507" spans="1:7">
      <c r="A507" s="40"/>
      <c r="B507" s="40"/>
      <c r="C507" s="40"/>
      <c r="D507" s="40"/>
      <c r="E507" s="40"/>
      <c r="F507" s="40"/>
      <c r="G507" s="40"/>
    </row>
    <row r="508" spans="1:7">
      <c r="A508" s="39"/>
      <c r="B508" s="39"/>
      <c r="C508" s="39"/>
      <c r="D508" s="39"/>
      <c r="E508" s="39"/>
      <c r="F508" s="39"/>
      <c r="G508" s="39"/>
    </row>
    <row r="509" spans="1:7">
      <c r="A509" s="40"/>
      <c r="B509" s="40"/>
      <c r="C509" s="40"/>
      <c r="D509" s="40"/>
      <c r="E509" s="40"/>
      <c r="F509" s="40"/>
      <c r="G509" s="40"/>
    </row>
    <row r="510" spans="1:7">
      <c r="A510" s="39"/>
      <c r="B510" s="39"/>
      <c r="C510" s="39"/>
      <c r="D510" s="39"/>
      <c r="E510" s="39"/>
      <c r="F510" s="39"/>
      <c r="G510" s="39"/>
    </row>
    <row r="511" spans="1:7">
      <c r="A511" s="40"/>
      <c r="B511" s="40"/>
      <c r="C511" s="40"/>
      <c r="D511" s="40"/>
      <c r="E511" s="40"/>
      <c r="F511" s="40"/>
      <c r="G511" s="40"/>
    </row>
    <row r="512" spans="1:7">
      <c r="A512" s="39"/>
      <c r="B512" s="39"/>
      <c r="C512" s="39"/>
      <c r="D512" s="39"/>
      <c r="E512" s="39"/>
      <c r="F512" s="39"/>
      <c r="G512" s="39"/>
    </row>
    <row r="513" spans="1:7">
      <c r="A513" s="40"/>
      <c r="B513" s="40"/>
      <c r="C513" s="40"/>
      <c r="D513" s="40"/>
      <c r="E513" s="40"/>
      <c r="F513" s="40"/>
      <c r="G513" s="40"/>
    </row>
    <row r="514" spans="1:7">
      <c r="A514" s="39"/>
      <c r="B514" s="39"/>
      <c r="C514" s="39"/>
      <c r="D514" s="39"/>
      <c r="E514" s="39"/>
      <c r="F514" s="39"/>
      <c r="G514" s="39"/>
    </row>
    <row r="515" spans="1:7">
      <c r="A515" s="40"/>
      <c r="B515" s="40"/>
      <c r="C515" s="40"/>
      <c r="D515" s="40"/>
      <c r="E515" s="40"/>
      <c r="F515" s="40"/>
      <c r="G515" s="40"/>
    </row>
    <row r="516" spans="1:7">
      <c r="A516" s="39"/>
      <c r="B516" s="39"/>
      <c r="C516" s="39"/>
      <c r="D516" s="39"/>
      <c r="E516" s="39"/>
      <c r="F516" s="39"/>
      <c r="G516" s="39"/>
    </row>
    <row r="517" spans="1:7">
      <c r="A517" s="40"/>
      <c r="B517" s="40"/>
      <c r="C517" s="40"/>
      <c r="D517" s="40"/>
      <c r="E517" s="40"/>
      <c r="F517" s="40"/>
      <c r="G517" s="40"/>
    </row>
    <row r="518" spans="1:7">
      <c r="A518" s="39"/>
      <c r="B518" s="39"/>
      <c r="C518" s="39"/>
      <c r="D518" s="39"/>
      <c r="E518" s="39"/>
      <c r="F518" s="39"/>
      <c r="G518" s="39"/>
    </row>
    <row r="519" spans="1:7">
      <c r="A519" s="40"/>
      <c r="B519" s="40"/>
      <c r="C519" s="40"/>
      <c r="D519" s="40"/>
      <c r="E519" s="40"/>
      <c r="F519" s="40"/>
      <c r="G519" s="40"/>
    </row>
    <row r="520" spans="1:7">
      <c r="A520" s="39"/>
      <c r="B520" s="39"/>
      <c r="C520" s="39"/>
      <c r="D520" s="39"/>
      <c r="E520" s="39"/>
      <c r="F520" s="39"/>
      <c r="G520" s="39"/>
    </row>
    <row r="521" spans="1:7">
      <c r="A521" s="40"/>
      <c r="B521" s="40"/>
      <c r="C521" s="40"/>
      <c r="D521" s="40"/>
      <c r="E521" s="40"/>
      <c r="F521" s="40"/>
      <c r="G521" s="40"/>
    </row>
    <row r="522" spans="1:7">
      <c r="A522" s="39"/>
      <c r="B522" s="39"/>
      <c r="C522" s="39"/>
      <c r="D522" s="39"/>
      <c r="E522" s="39"/>
      <c r="F522" s="39"/>
      <c r="G522" s="39"/>
    </row>
    <row r="523" spans="1:7">
      <c r="A523" s="40"/>
      <c r="B523" s="40"/>
      <c r="C523" s="40"/>
      <c r="D523" s="40"/>
      <c r="E523" s="40"/>
      <c r="F523" s="40"/>
      <c r="G523" s="40"/>
    </row>
    <row r="524" spans="1:7">
      <c r="A524" s="39"/>
      <c r="B524" s="39"/>
      <c r="C524" s="39"/>
      <c r="D524" s="39"/>
      <c r="E524" s="39"/>
      <c r="F524" s="39"/>
      <c r="G524" s="39"/>
    </row>
    <row r="525" spans="1:7">
      <c r="A525" s="40"/>
      <c r="B525" s="40"/>
      <c r="C525" s="40"/>
      <c r="D525" s="40"/>
      <c r="E525" s="40"/>
      <c r="F525" s="40"/>
      <c r="G525" s="40"/>
    </row>
    <row r="526" spans="1:7">
      <c r="A526" s="39"/>
      <c r="B526" s="39"/>
      <c r="C526" s="39"/>
      <c r="D526" s="39"/>
      <c r="E526" s="39"/>
      <c r="F526" s="39"/>
      <c r="G526" s="39"/>
    </row>
    <row r="527" spans="1:7">
      <c r="A527" s="40"/>
      <c r="B527" s="40"/>
      <c r="C527" s="40"/>
      <c r="D527" s="40"/>
      <c r="E527" s="40"/>
      <c r="F527" s="40"/>
      <c r="G527" s="40"/>
    </row>
    <row r="528" spans="1:7">
      <c r="A528" s="39"/>
      <c r="B528" s="39"/>
      <c r="C528" s="39"/>
      <c r="D528" s="39"/>
      <c r="E528" s="39"/>
      <c r="F528" s="39"/>
      <c r="G528" s="39"/>
    </row>
    <row r="529" spans="1:7">
      <c r="A529" s="40"/>
      <c r="B529" s="40"/>
      <c r="C529" s="40"/>
      <c r="D529" s="40"/>
      <c r="E529" s="40"/>
      <c r="F529" s="40"/>
      <c r="G529" s="40"/>
    </row>
    <row r="530" spans="1:7">
      <c r="A530" s="39"/>
      <c r="B530" s="39"/>
      <c r="C530" s="39"/>
      <c r="D530" s="39"/>
      <c r="E530" s="39"/>
      <c r="F530" s="39"/>
      <c r="G530" s="39"/>
    </row>
    <row r="531" spans="1:7">
      <c r="A531" s="40"/>
      <c r="B531" s="40"/>
      <c r="C531" s="40"/>
      <c r="D531" s="40"/>
      <c r="E531" s="40"/>
      <c r="F531" s="40"/>
      <c r="G531" s="40"/>
    </row>
    <row r="532" spans="1:7">
      <c r="A532" s="39"/>
      <c r="B532" s="39"/>
      <c r="C532" s="39"/>
      <c r="D532" s="39"/>
      <c r="E532" s="39"/>
      <c r="F532" s="39"/>
      <c r="G532" s="39"/>
    </row>
    <row r="533" spans="1:7">
      <c r="A533" s="40"/>
      <c r="B533" s="40"/>
      <c r="C533" s="40"/>
      <c r="D533" s="40"/>
      <c r="E533" s="40"/>
      <c r="F533" s="40"/>
      <c r="G533" s="40"/>
    </row>
    <row r="534" spans="1:7">
      <c r="A534" s="39"/>
      <c r="B534" s="39"/>
      <c r="C534" s="39"/>
      <c r="D534" s="39"/>
      <c r="E534" s="39"/>
      <c r="F534" s="39"/>
      <c r="G534" s="39"/>
    </row>
    <row r="535" spans="1:7">
      <c r="A535" s="40"/>
      <c r="B535" s="40"/>
      <c r="C535" s="40"/>
      <c r="D535" s="40"/>
      <c r="E535" s="40"/>
      <c r="F535" s="40"/>
      <c r="G535" s="40"/>
    </row>
    <row r="536" spans="1:7">
      <c r="A536" s="39"/>
      <c r="B536" s="39"/>
      <c r="C536" s="39"/>
      <c r="D536" s="39"/>
      <c r="E536" s="39"/>
      <c r="F536" s="39"/>
      <c r="G536" s="39"/>
    </row>
    <row r="537" spans="1:7">
      <c r="A537" s="40"/>
      <c r="B537" s="40"/>
      <c r="C537" s="40"/>
      <c r="D537" s="40"/>
      <c r="E537" s="40"/>
      <c r="F537" s="40"/>
      <c r="G537" s="40"/>
    </row>
    <row r="538" spans="1:7">
      <c r="A538" s="39"/>
      <c r="B538" s="39"/>
      <c r="C538" s="39"/>
      <c r="D538" s="39"/>
      <c r="E538" s="39"/>
      <c r="F538" s="39"/>
      <c r="G538" s="39"/>
    </row>
    <row r="539" spans="1:7">
      <c r="A539" s="40"/>
      <c r="B539" s="40"/>
      <c r="C539" s="40"/>
      <c r="D539" s="40"/>
      <c r="E539" s="40"/>
      <c r="F539" s="40"/>
      <c r="G539" s="40"/>
    </row>
    <row r="540" spans="1:7">
      <c r="A540" s="39"/>
      <c r="B540" s="39"/>
      <c r="C540" s="39"/>
      <c r="D540" s="39"/>
      <c r="E540" s="39"/>
      <c r="F540" s="39"/>
      <c r="G540" s="39"/>
    </row>
    <row r="541" spans="1:7">
      <c r="A541" s="40"/>
      <c r="B541" s="40"/>
      <c r="C541" s="40"/>
      <c r="D541" s="40"/>
      <c r="E541" s="40"/>
      <c r="F541" s="40"/>
      <c r="G541" s="40"/>
    </row>
    <row r="542" spans="1:7">
      <c r="A542" s="39"/>
      <c r="B542" s="39"/>
      <c r="C542" s="39"/>
      <c r="D542" s="39"/>
      <c r="E542" s="39"/>
      <c r="F542" s="39"/>
      <c r="G542" s="39"/>
    </row>
    <row r="543" spans="1:7">
      <c r="A543" s="40"/>
      <c r="B543" s="40"/>
      <c r="C543" s="40"/>
      <c r="D543" s="40"/>
      <c r="E543" s="40"/>
      <c r="F543" s="40"/>
      <c r="G543" s="40"/>
    </row>
    <row r="544" spans="1:7">
      <c r="A544" s="39"/>
      <c r="B544" s="39"/>
      <c r="C544" s="39"/>
      <c r="D544" s="39"/>
      <c r="E544" s="39"/>
      <c r="F544" s="39"/>
      <c r="G544" s="39"/>
    </row>
    <row r="545" spans="1:7">
      <c r="A545" s="40"/>
      <c r="B545" s="40"/>
      <c r="C545" s="40"/>
      <c r="D545" s="40"/>
      <c r="E545" s="40"/>
      <c r="F545" s="40"/>
      <c r="G545" s="40"/>
    </row>
    <row r="546" spans="1:7">
      <c r="A546" s="39"/>
      <c r="B546" s="39"/>
      <c r="C546" s="39"/>
      <c r="D546" s="39"/>
      <c r="E546" s="39"/>
      <c r="F546" s="39"/>
      <c r="G546" s="39"/>
    </row>
    <row r="547" spans="1:7">
      <c r="A547" s="40"/>
      <c r="B547" s="40"/>
      <c r="C547" s="40"/>
      <c r="D547" s="40"/>
      <c r="E547" s="40"/>
      <c r="F547" s="40"/>
      <c r="G547" s="40"/>
    </row>
    <row r="548" spans="1:7">
      <c r="A548" s="39"/>
      <c r="B548" s="39"/>
      <c r="C548" s="39"/>
      <c r="D548" s="39"/>
      <c r="E548" s="39"/>
      <c r="F548" s="39"/>
      <c r="G548" s="39"/>
    </row>
    <row r="549" spans="1:7">
      <c r="A549" s="40"/>
      <c r="B549" s="40"/>
      <c r="C549" s="40"/>
      <c r="D549" s="40"/>
      <c r="E549" s="40"/>
      <c r="F549" s="40"/>
      <c r="G549" s="40"/>
    </row>
    <row r="550" spans="1:7">
      <c r="A550" s="39"/>
      <c r="B550" s="39"/>
      <c r="C550" s="39"/>
      <c r="D550" s="39"/>
      <c r="E550" s="39"/>
      <c r="F550" s="39"/>
      <c r="G550" s="39"/>
    </row>
    <row r="551" spans="1:7">
      <c r="A551" s="40"/>
      <c r="B551" s="40"/>
      <c r="C551" s="40"/>
      <c r="D551" s="40"/>
      <c r="E551" s="40"/>
      <c r="F551" s="40"/>
      <c r="G551" s="40"/>
    </row>
    <row r="552" spans="1:7">
      <c r="A552" s="39"/>
      <c r="B552" s="39"/>
      <c r="C552" s="39"/>
      <c r="D552" s="39"/>
      <c r="E552" s="39"/>
      <c r="F552" s="39"/>
      <c r="G552" s="39"/>
    </row>
    <row r="553" spans="1:7">
      <c r="A553" s="40"/>
      <c r="B553" s="40"/>
      <c r="C553" s="40"/>
      <c r="D553" s="40"/>
      <c r="E553" s="40"/>
      <c r="F553" s="40"/>
      <c r="G553" s="40"/>
    </row>
    <row r="554" spans="1:7">
      <c r="A554" s="39"/>
      <c r="B554" s="39"/>
      <c r="C554" s="39"/>
      <c r="D554" s="39"/>
      <c r="E554" s="39"/>
      <c r="F554" s="39"/>
      <c r="G554" s="39"/>
    </row>
    <row r="555" spans="1:7">
      <c r="A555" s="40"/>
      <c r="B555" s="40"/>
      <c r="C555" s="40"/>
      <c r="D555" s="40"/>
      <c r="E555" s="40"/>
      <c r="F555" s="40"/>
      <c r="G555" s="40"/>
    </row>
    <row r="556" spans="1:7">
      <c r="A556" s="39"/>
      <c r="B556" s="39"/>
      <c r="C556" s="39"/>
      <c r="D556" s="39"/>
      <c r="E556" s="39"/>
      <c r="F556" s="39"/>
      <c r="G556" s="39"/>
    </row>
    <row r="557" spans="1:7">
      <c r="A557" s="40"/>
      <c r="B557" s="40"/>
      <c r="C557" s="40"/>
      <c r="D557" s="40"/>
      <c r="E557" s="40"/>
      <c r="F557" s="40"/>
      <c r="G557" s="40"/>
    </row>
    <row r="558" spans="1:7">
      <c r="A558" s="39"/>
      <c r="B558" s="39"/>
      <c r="C558" s="39"/>
      <c r="D558" s="39"/>
      <c r="E558" s="39"/>
      <c r="F558" s="39"/>
      <c r="G558" s="39"/>
    </row>
    <row r="559" spans="1:7">
      <c r="A559" s="40"/>
      <c r="B559" s="40"/>
      <c r="C559" s="40"/>
      <c r="D559" s="40"/>
      <c r="E559" s="40"/>
      <c r="F559" s="40"/>
      <c r="G559" s="40"/>
    </row>
    <row r="560" spans="1:7">
      <c r="A560" s="39"/>
      <c r="B560" s="39"/>
      <c r="C560" s="39"/>
      <c r="D560" s="39"/>
      <c r="E560" s="39"/>
      <c r="F560" s="39"/>
      <c r="G560" s="39"/>
    </row>
    <row r="561" spans="1:7">
      <c r="A561" s="40"/>
      <c r="B561" s="40"/>
      <c r="C561" s="40"/>
      <c r="D561" s="40"/>
      <c r="E561" s="40"/>
      <c r="F561" s="40"/>
      <c r="G561" s="40"/>
    </row>
    <row r="562" spans="1:7">
      <c r="A562" s="39"/>
      <c r="B562" s="39"/>
      <c r="C562" s="39"/>
      <c r="D562" s="39"/>
      <c r="E562" s="39"/>
      <c r="F562" s="39"/>
      <c r="G562" s="39"/>
    </row>
    <row r="563" spans="1:7">
      <c r="A563" s="40"/>
      <c r="B563" s="40"/>
      <c r="C563" s="40"/>
      <c r="D563" s="40"/>
      <c r="E563" s="40"/>
      <c r="F563" s="40"/>
      <c r="G563" s="40"/>
    </row>
    <row r="564" spans="1:7">
      <c r="A564" s="39"/>
      <c r="B564" s="39"/>
      <c r="C564" s="39"/>
      <c r="D564" s="39"/>
      <c r="E564" s="39"/>
      <c r="F564" s="39"/>
      <c r="G564" s="39"/>
    </row>
    <row r="565" spans="1:7">
      <c r="A565" s="40"/>
      <c r="B565" s="40"/>
      <c r="C565" s="40"/>
      <c r="D565" s="40"/>
      <c r="E565" s="40"/>
      <c r="F565" s="40"/>
      <c r="G565" s="40"/>
    </row>
    <row r="566" spans="1:7">
      <c r="A566" s="39"/>
      <c r="B566" s="39"/>
      <c r="C566" s="39"/>
      <c r="D566" s="39"/>
      <c r="E566" s="39"/>
      <c r="F566" s="39"/>
      <c r="G566" s="39"/>
    </row>
    <row r="567" spans="1:7">
      <c r="A567" s="40"/>
      <c r="B567" s="40"/>
      <c r="C567" s="40"/>
      <c r="D567" s="40"/>
      <c r="E567" s="40"/>
      <c r="F567" s="40"/>
      <c r="G567" s="40"/>
    </row>
    <row r="568" spans="1:7">
      <c r="A568" s="39"/>
      <c r="B568" s="39"/>
      <c r="C568" s="39"/>
      <c r="D568" s="39"/>
      <c r="E568" s="39"/>
      <c r="F568" s="39"/>
      <c r="G568" s="39"/>
    </row>
    <row r="569" spans="1:7">
      <c r="A569" s="40"/>
      <c r="B569" s="40"/>
      <c r="C569" s="40"/>
      <c r="D569" s="40"/>
      <c r="E569" s="40"/>
      <c r="F569" s="40"/>
      <c r="G569" s="40"/>
    </row>
    <row r="570" spans="1:7">
      <c r="A570" s="39"/>
      <c r="B570" s="39"/>
      <c r="C570" s="39"/>
      <c r="D570" s="39"/>
      <c r="E570" s="39"/>
      <c r="F570" s="39"/>
      <c r="G570" s="39"/>
    </row>
    <row r="571" spans="1:7">
      <c r="A571" s="40"/>
      <c r="B571" s="40"/>
      <c r="C571" s="40"/>
      <c r="D571" s="40"/>
      <c r="E571" s="40"/>
      <c r="F571" s="40"/>
      <c r="G571" s="40"/>
    </row>
    <row r="572" spans="1:7">
      <c r="A572" s="39"/>
      <c r="B572" s="39"/>
      <c r="C572" s="39"/>
      <c r="D572" s="39"/>
      <c r="E572" s="39"/>
      <c r="F572" s="39"/>
      <c r="G572" s="39"/>
    </row>
    <row r="573" spans="1:7">
      <c r="A573" s="40"/>
      <c r="B573" s="40"/>
      <c r="C573" s="40"/>
      <c r="D573" s="40"/>
      <c r="E573" s="40"/>
      <c r="F573" s="40"/>
      <c r="G573" s="40"/>
    </row>
    <row r="574" spans="1:7">
      <c r="A574" s="39"/>
      <c r="B574" s="39"/>
      <c r="C574" s="39"/>
      <c r="D574" s="39"/>
      <c r="E574" s="39"/>
      <c r="F574" s="39"/>
      <c r="G574" s="39"/>
    </row>
    <row r="575" spans="1:7">
      <c r="A575" s="40"/>
      <c r="B575" s="40"/>
      <c r="C575" s="40"/>
      <c r="D575" s="40"/>
      <c r="E575" s="40"/>
      <c r="F575" s="40"/>
      <c r="G575" s="40"/>
    </row>
    <row r="576" spans="1:7">
      <c r="A576" s="39"/>
      <c r="B576" s="39"/>
      <c r="C576" s="39"/>
      <c r="D576" s="39"/>
      <c r="E576" s="39"/>
      <c r="F576" s="39"/>
      <c r="G576" s="39"/>
    </row>
    <row r="577" spans="1:7">
      <c r="A577" s="40"/>
      <c r="B577" s="40"/>
      <c r="C577" s="40"/>
      <c r="D577" s="40"/>
      <c r="E577" s="40"/>
      <c r="F577" s="40"/>
      <c r="G577" s="40"/>
    </row>
    <row r="578" spans="1:7">
      <c r="A578" s="39"/>
      <c r="B578" s="39"/>
      <c r="C578" s="39"/>
      <c r="D578" s="39"/>
      <c r="E578" s="39"/>
      <c r="F578" s="39"/>
      <c r="G578" s="39"/>
    </row>
    <row r="579" spans="1:7">
      <c r="A579" s="40"/>
      <c r="B579" s="40"/>
      <c r="C579" s="40"/>
      <c r="D579" s="40"/>
      <c r="E579" s="40"/>
      <c r="F579" s="40"/>
      <c r="G579" s="40"/>
    </row>
    <row r="580" spans="1:7">
      <c r="A580" s="39"/>
      <c r="B580" s="39"/>
      <c r="C580" s="39"/>
      <c r="D580" s="39"/>
      <c r="E580" s="39"/>
      <c r="F580" s="39"/>
      <c r="G580" s="39"/>
    </row>
    <row r="581" spans="1:7">
      <c r="A581" s="40"/>
      <c r="B581" s="40"/>
      <c r="C581" s="40"/>
      <c r="D581" s="40"/>
      <c r="E581" s="40"/>
      <c r="F581" s="40"/>
      <c r="G581" s="40"/>
    </row>
    <row r="582" spans="1:7">
      <c r="A582" s="39"/>
      <c r="B582" s="39"/>
      <c r="C582" s="39"/>
      <c r="D582" s="39"/>
      <c r="E582" s="39"/>
      <c r="F582" s="39"/>
      <c r="G582" s="39"/>
    </row>
    <row r="583" spans="1:7">
      <c r="A583" s="40"/>
      <c r="B583" s="40"/>
      <c r="C583" s="40"/>
      <c r="D583" s="40"/>
      <c r="E583" s="40"/>
      <c r="F583" s="40"/>
      <c r="G583" s="40"/>
    </row>
    <row r="584" spans="1:7">
      <c r="A584" s="39"/>
      <c r="B584" s="39"/>
      <c r="C584" s="39"/>
      <c r="D584" s="39"/>
      <c r="E584" s="39"/>
      <c r="F584" s="39"/>
      <c r="G584" s="39"/>
    </row>
    <row r="585" spans="1:7">
      <c r="A585" s="40"/>
      <c r="B585" s="40"/>
      <c r="C585" s="40"/>
      <c r="D585" s="40"/>
      <c r="E585" s="40"/>
      <c r="F585" s="40"/>
      <c r="G585" s="40"/>
    </row>
    <row r="586" spans="1:7">
      <c r="A586" s="39"/>
      <c r="B586" s="39"/>
      <c r="C586" s="39"/>
      <c r="D586" s="39"/>
      <c r="E586" s="39"/>
      <c r="F586" s="39"/>
      <c r="G586" s="39"/>
    </row>
    <row r="587" spans="1:7">
      <c r="A587" s="40"/>
      <c r="B587" s="40"/>
      <c r="C587" s="40"/>
      <c r="D587" s="40"/>
      <c r="E587" s="40"/>
      <c r="F587" s="40"/>
      <c r="G587" s="40"/>
    </row>
    <row r="588" spans="1:7">
      <c r="A588" s="39"/>
      <c r="B588" s="39"/>
      <c r="C588" s="39"/>
      <c r="D588" s="39"/>
      <c r="E588" s="39"/>
      <c r="F588" s="39"/>
      <c r="G588" s="39"/>
    </row>
    <row r="589" spans="1:7">
      <c r="A589" s="40"/>
      <c r="B589" s="40"/>
      <c r="C589" s="40"/>
      <c r="D589" s="40"/>
      <c r="E589" s="40"/>
      <c r="F589" s="40"/>
      <c r="G589" s="40"/>
    </row>
    <row r="590" spans="1:7">
      <c r="A590" s="39"/>
      <c r="B590" s="39"/>
      <c r="C590" s="39"/>
      <c r="D590" s="39"/>
      <c r="E590" s="39"/>
      <c r="F590" s="39"/>
      <c r="G590" s="39"/>
    </row>
    <row r="591" spans="1:7">
      <c r="A591" s="40"/>
      <c r="B591" s="40"/>
      <c r="C591" s="40"/>
      <c r="D591" s="40"/>
      <c r="E591" s="40"/>
      <c r="F591" s="40"/>
      <c r="G591" s="40"/>
    </row>
    <row r="592" spans="1:7">
      <c r="A592" s="39"/>
      <c r="B592" s="39"/>
      <c r="C592" s="39"/>
      <c r="D592" s="39"/>
      <c r="E592" s="39"/>
      <c r="F592" s="39"/>
      <c r="G592" s="39"/>
    </row>
    <row r="593" spans="1:7">
      <c r="A593" s="40"/>
      <c r="B593" s="40"/>
      <c r="C593" s="40"/>
      <c r="D593" s="40"/>
      <c r="E593" s="40"/>
      <c r="F593" s="40"/>
      <c r="G593" s="40"/>
    </row>
    <row r="594" spans="1:7">
      <c r="A594" s="39"/>
      <c r="B594" s="39"/>
      <c r="C594" s="39"/>
      <c r="D594" s="39"/>
      <c r="E594" s="39"/>
      <c r="F594" s="39"/>
      <c r="G594" s="39"/>
    </row>
    <row r="595" spans="1:7">
      <c r="A595" s="40"/>
      <c r="B595" s="40"/>
      <c r="C595" s="40"/>
      <c r="D595" s="40"/>
      <c r="E595" s="40"/>
      <c r="F595" s="40"/>
      <c r="G595" s="40"/>
    </row>
    <row r="596" spans="1:7">
      <c r="A596" s="39"/>
      <c r="B596" s="39"/>
      <c r="C596" s="39"/>
      <c r="D596" s="39"/>
      <c r="E596" s="39"/>
      <c r="F596" s="39"/>
      <c r="G596" s="39"/>
    </row>
    <row r="597" spans="1:7">
      <c r="A597" s="40"/>
      <c r="B597" s="40"/>
      <c r="C597" s="40"/>
      <c r="D597" s="40"/>
      <c r="E597" s="40"/>
      <c r="F597" s="40"/>
      <c r="G597" s="40"/>
    </row>
    <row r="598" spans="1:7">
      <c r="A598" s="39"/>
      <c r="B598" s="39"/>
      <c r="C598" s="39"/>
      <c r="D598" s="39"/>
      <c r="E598" s="39"/>
      <c r="F598" s="39"/>
      <c r="G598" s="39"/>
    </row>
    <row r="599" spans="1:7">
      <c r="A599" s="40"/>
      <c r="B599" s="40"/>
      <c r="C599" s="40"/>
      <c r="D599" s="40"/>
      <c r="E599" s="40"/>
      <c r="F599" s="40"/>
      <c r="G599" s="40"/>
    </row>
    <row r="600" spans="1:7">
      <c r="A600" s="39"/>
      <c r="B600" s="39"/>
      <c r="C600" s="39"/>
      <c r="D600" s="39"/>
      <c r="E600" s="39"/>
      <c r="F600" s="39"/>
      <c r="G600" s="39"/>
    </row>
    <row r="601" spans="1:7">
      <c r="A601" s="40"/>
      <c r="B601" s="40"/>
      <c r="C601" s="40"/>
      <c r="D601" s="40"/>
      <c r="E601" s="40"/>
      <c r="F601" s="40"/>
      <c r="G601" s="40"/>
    </row>
    <row r="602" spans="1:7">
      <c r="A602" s="39"/>
      <c r="B602" s="39"/>
      <c r="C602" s="39"/>
      <c r="D602" s="39"/>
      <c r="E602" s="39"/>
      <c r="F602" s="39"/>
      <c r="G602" s="39"/>
    </row>
    <row r="603" spans="1:7">
      <c r="A603" s="40"/>
      <c r="B603" s="40"/>
      <c r="C603" s="40"/>
      <c r="D603" s="40"/>
      <c r="E603" s="40"/>
      <c r="F603" s="40"/>
      <c r="G603" s="40"/>
    </row>
    <row r="604" spans="1:7">
      <c r="A604" s="39"/>
      <c r="B604" s="39"/>
      <c r="C604" s="39"/>
      <c r="D604" s="39"/>
      <c r="E604" s="39"/>
      <c r="F604" s="39"/>
      <c r="G604" s="39"/>
    </row>
    <row r="605" spans="1:7">
      <c r="A605" s="40"/>
      <c r="B605" s="40"/>
      <c r="C605" s="40"/>
      <c r="D605" s="40"/>
      <c r="E605" s="40"/>
      <c r="F605" s="40"/>
      <c r="G605" s="40"/>
    </row>
    <row r="606" spans="1:7">
      <c r="A606" s="39"/>
      <c r="B606" s="39"/>
      <c r="C606" s="39"/>
      <c r="D606" s="39"/>
      <c r="E606" s="39"/>
      <c r="F606" s="39"/>
      <c r="G606" s="39"/>
    </row>
    <row r="607" spans="1:7">
      <c r="A607" s="40"/>
      <c r="B607" s="40"/>
      <c r="C607" s="40"/>
      <c r="D607" s="40"/>
      <c r="E607" s="40"/>
      <c r="F607" s="40"/>
      <c r="G607" s="40"/>
    </row>
    <row r="608" spans="1:7">
      <c r="A608" s="39"/>
      <c r="B608" s="39"/>
      <c r="C608" s="39"/>
      <c r="D608" s="39"/>
      <c r="E608" s="39"/>
      <c r="F608" s="39"/>
      <c r="G608" s="39"/>
    </row>
    <row r="609" spans="1:7">
      <c r="A609" s="40"/>
      <c r="B609" s="40"/>
      <c r="C609" s="40"/>
      <c r="D609" s="40"/>
      <c r="E609" s="40"/>
      <c r="F609" s="40"/>
      <c r="G609" s="40"/>
    </row>
    <row r="610" spans="1:7">
      <c r="A610" s="39"/>
      <c r="B610" s="39"/>
      <c r="C610" s="39"/>
      <c r="D610" s="39"/>
      <c r="E610" s="39"/>
      <c r="F610" s="39"/>
      <c r="G610" s="39"/>
    </row>
    <row r="611" spans="1:7">
      <c r="A611" s="40"/>
      <c r="B611" s="40"/>
      <c r="C611" s="40"/>
      <c r="D611" s="40"/>
      <c r="E611" s="40"/>
      <c r="F611" s="40"/>
      <c r="G611" s="40"/>
    </row>
    <row r="612" spans="1:7">
      <c r="A612" s="39"/>
      <c r="B612" s="39"/>
      <c r="C612" s="39"/>
      <c r="D612" s="39"/>
      <c r="E612" s="39"/>
      <c r="F612" s="39"/>
      <c r="G612" s="39"/>
    </row>
    <row r="613" spans="1:7">
      <c r="A613" s="40"/>
      <c r="B613" s="40"/>
      <c r="C613" s="40"/>
      <c r="D613" s="40"/>
      <c r="E613" s="40"/>
      <c r="F613" s="40"/>
      <c r="G613" s="40"/>
    </row>
    <row r="614" spans="1:7">
      <c r="A614" s="39"/>
      <c r="B614" s="39"/>
      <c r="C614" s="39"/>
      <c r="D614" s="39"/>
      <c r="E614" s="39"/>
      <c r="F614" s="39"/>
      <c r="G614" s="39"/>
    </row>
    <row r="615" spans="1:7">
      <c r="A615" s="40"/>
      <c r="B615" s="40"/>
      <c r="C615" s="40"/>
      <c r="D615" s="40"/>
      <c r="E615" s="40"/>
      <c r="F615" s="40"/>
      <c r="G615" s="40"/>
    </row>
    <row r="616" spans="1:7">
      <c r="A616" s="39"/>
      <c r="B616" s="39"/>
      <c r="C616" s="39"/>
      <c r="D616" s="39"/>
      <c r="E616" s="39"/>
      <c r="F616" s="39"/>
      <c r="G616" s="39"/>
    </row>
    <row r="617" spans="1:7">
      <c r="A617" s="40"/>
      <c r="B617" s="40"/>
      <c r="C617" s="40"/>
      <c r="D617" s="40"/>
      <c r="E617" s="40"/>
      <c r="F617" s="40"/>
      <c r="G617" s="40"/>
    </row>
    <row r="618" spans="1:7">
      <c r="A618" s="39"/>
      <c r="B618" s="39"/>
      <c r="C618" s="39"/>
      <c r="D618" s="39"/>
      <c r="E618" s="39"/>
      <c r="F618" s="39"/>
      <c r="G618" s="39"/>
    </row>
    <row r="619" spans="1:7">
      <c r="A619" s="40"/>
      <c r="B619" s="40"/>
      <c r="C619" s="40"/>
      <c r="D619" s="40"/>
      <c r="E619" s="40"/>
      <c r="F619" s="40"/>
      <c r="G619" s="40"/>
    </row>
    <row r="620" spans="1:7">
      <c r="A620" s="39"/>
      <c r="B620" s="39"/>
      <c r="C620" s="39"/>
      <c r="D620" s="39"/>
      <c r="E620" s="39"/>
      <c r="F620" s="39"/>
      <c r="G620" s="39"/>
    </row>
    <row r="621" spans="1:7">
      <c r="A621" s="40"/>
      <c r="B621" s="40"/>
      <c r="C621" s="40"/>
      <c r="D621" s="40"/>
      <c r="E621" s="40"/>
      <c r="F621" s="40"/>
      <c r="G621" s="40"/>
    </row>
    <row r="622" spans="1:7">
      <c r="A622" s="39"/>
      <c r="B622" s="39"/>
      <c r="C622" s="39"/>
      <c r="D622" s="39"/>
      <c r="E622" s="39"/>
      <c r="F622" s="39"/>
      <c r="G622" s="39"/>
    </row>
    <row r="623" spans="1:7">
      <c r="A623" s="40"/>
      <c r="B623" s="40"/>
      <c r="C623" s="40"/>
      <c r="D623" s="40"/>
      <c r="E623" s="40"/>
      <c r="F623" s="40"/>
      <c r="G623" s="40"/>
    </row>
    <row r="624" spans="1:7">
      <c r="A624" s="39"/>
      <c r="B624" s="39"/>
      <c r="C624" s="39"/>
      <c r="D624" s="39"/>
      <c r="E624" s="39"/>
      <c r="F624" s="39"/>
      <c r="G624" s="39"/>
    </row>
    <row r="625" spans="1:7">
      <c r="A625" s="40"/>
      <c r="B625" s="40"/>
      <c r="C625" s="40"/>
      <c r="D625" s="40"/>
      <c r="E625" s="40"/>
      <c r="F625" s="40"/>
      <c r="G625" s="40"/>
    </row>
    <row r="626" spans="1:7">
      <c r="A626" s="39"/>
      <c r="B626" s="39"/>
      <c r="C626" s="39"/>
      <c r="D626" s="39"/>
      <c r="E626" s="39"/>
      <c r="F626" s="39"/>
      <c r="G626" s="39"/>
    </row>
    <row r="627" spans="1:7">
      <c r="A627" s="40"/>
      <c r="B627" s="40"/>
      <c r="C627" s="40"/>
      <c r="D627" s="40"/>
      <c r="E627" s="40"/>
      <c r="F627" s="40"/>
      <c r="G627" s="40"/>
    </row>
    <row r="628" spans="1:7">
      <c r="A628" s="39"/>
      <c r="B628" s="39"/>
      <c r="C628" s="39"/>
      <c r="D628" s="39"/>
      <c r="E628" s="39"/>
      <c r="F628" s="39"/>
      <c r="G628" s="39"/>
    </row>
    <row r="629" spans="1:7">
      <c r="A629" s="40"/>
      <c r="B629" s="40"/>
      <c r="C629" s="40"/>
      <c r="D629" s="40"/>
      <c r="E629" s="40"/>
      <c r="F629" s="40"/>
      <c r="G629" s="40"/>
    </row>
    <row r="630" spans="1:7">
      <c r="A630" s="39"/>
      <c r="B630" s="39"/>
      <c r="C630" s="39"/>
      <c r="D630" s="39"/>
      <c r="E630" s="39"/>
      <c r="F630" s="39"/>
      <c r="G630" s="39"/>
    </row>
    <row r="631" spans="1:7">
      <c r="A631" s="40"/>
      <c r="B631" s="40"/>
      <c r="C631" s="40"/>
      <c r="D631" s="40"/>
      <c r="E631" s="40"/>
      <c r="F631" s="40"/>
      <c r="G631" s="40"/>
    </row>
    <row r="632" spans="1:7">
      <c r="A632" s="39"/>
      <c r="B632" s="39"/>
      <c r="C632" s="39"/>
      <c r="D632" s="39"/>
      <c r="E632" s="39"/>
      <c r="F632" s="39"/>
      <c r="G632" s="39"/>
    </row>
    <row r="633" spans="1:7">
      <c r="A633" s="40"/>
      <c r="B633" s="40"/>
      <c r="C633" s="40"/>
      <c r="D633" s="40"/>
      <c r="E633" s="40"/>
      <c r="F633" s="40"/>
      <c r="G633" s="40"/>
    </row>
    <row r="634" spans="1:7">
      <c r="A634" s="39"/>
      <c r="B634" s="39"/>
      <c r="C634" s="39"/>
      <c r="D634" s="39"/>
      <c r="E634" s="39"/>
      <c r="F634" s="39"/>
      <c r="G634" s="39"/>
    </row>
    <row r="635" spans="1:7">
      <c r="A635" s="40"/>
      <c r="B635" s="40"/>
      <c r="C635" s="40"/>
      <c r="D635" s="40"/>
      <c r="E635" s="40"/>
      <c r="F635" s="40"/>
      <c r="G635" s="40"/>
    </row>
    <row r="636" spans="1:7">
      <c r="A636" s="39"/>
      <c r="B636" s="39"/>
      <c r="C636" s="39"/>
      <c r="D636" s="39"/>
      <c r="E636" s="39"/>
      <c r="F636" s="39"/>
      <c r="G636" s="39"/>
    </row>
    <row r="637" spans="1:7">
      <c r="A637" s="40"/>
      <c r="B637" s="40"/>
      <c r="C637" s="40"/>
      <c r="D637" s="40"/>
      <c r="E637" s="40"/>
      <c r="F637" s="40"/>
      <c r="G637" s="40"/>
    </row>
    <row r="638" spans="1:7">
      <c r="A638" s="39"/>
      <c r="B638" s="39"/>
      <c r="C638" s="39"/>
      <c r="D638" s="39"/>
      <c r="E638" s="39"/>
      <c r="F638" s="39"/>
      <c r="G638" s="39"/>
    </row>
    <row r="639" spans="1:7">
      <c r="A639" s="40"/>
      <c r="B639" s="40"/>
      <c r="C639" s="40"/>
      <c r="D639" s="40"/>
      <c r="E639" s="40"/>
      <c r="F639" s="40"/>
      <c r="G639" s="40"/>
    </row>
    <row r="640" spans="1:7">
      <c r="A640" s="39"/>
      <c r="B640" s="39"/>
      <c r="C640" s="39"/>
      <c r="D640" s="39"/>
      <c r="E640" s="39"/>
      <c r="F640" s="39"/>
      <c r="G640" s="39"/>
    </row>
    <row r="641" spans="1:7">
      <c r="A641" s="40"/>
      <c r="B641" s="40"/>
      <c r="C641" s="40"/>
      <c r="D641" s="40"/>
      <c r="E641" s="40"/>
      <c r="F641" s="40"/>
      <c r="G641" s="40"/>
    </row>
    <row r="642" spans="1:7">
      <c r="A642" s="39"/>
      <c r="B642" s="39"/>
      <c r="C642" s="39"/>
      <c r="D642" s="39"/>
      <c r="E642" s="39"/>
      <c r="F642" s="39"/>
      <c r="G642" s="39"/>
    </row>
    <row r="643" spans="1:7">
      <c r="A643" s="40"/>
      <c r="B643" s="40"/>
      <c r="C643" s="40"/>
      <c r="D643" s="40"/>
      <c r="E643" s="40"/>
      <c r="F643" s="40"/>
      <c r="G643" s="40"/>
    </row>
    <row r="644" spans="1:7">
      <c r="A644" s="39"/>
      <c r="B644" s="39"/>
      <c r="C644" s="39"/>
      <c r="D644" s="39"/>
      <c r="E644" s="39"/>
      <c r="F644" s="39"/>
      <c r="G644" s="39"/>
    </row>
    <row r="645" spans="1:7">
      <c r="A645" s="40"/>
      <c r="B645" s="40"/>
      <c r="C645" s="40"/>
      <c r="D645" s="40"/>
      <c r="E645" s="40"/>
      <c r="F645" s="40"/>
      <c r="G645" s="40"/>
    </row>
    <row r="646" spans="1:7">
      <c r="A646" s="39"/>
      <c r="B646" s="39"/>
      <c r="C646" s="39"/>
      <c r="D646" s="39"/>
      <c r="E646" s="39"/>
      <c r="F646" s="39"/>
      <c r="G646" s="39"/>
    </row>
    <row r="647" spans="1:7">
      <c r="A647" s="40"/>
      <c r="B647" s="40"/>
      <c r="C647" s="40"/>
      <c r="D647" s="40"/>
      <c r="E647" s="40"/>
      <c r="F647" s="40"/>
      <c r="G647" s="40"/>
    </row>
    <row r="648" spans="1:7">
      <c r="A648" s="39"/>
      <c r="B648" s="39"/>
      <c r="C648" s="39"/>
      <c r="D648" s="39"/>
      <c r="E648" s="39"/>
      <c r="F648" s="39"/>
      <c r="G648" s="39"/>
    </row>
    <row r="649" spans="1:7">
      <c r="A649" s="40"/>
      <c r="B649" s="40"/>
      <c r="C649" s="40"/>
      <c r="D649" s="40"/>
      <c r="E649" s="40"/>
      <c r="F649" s="40"/>
      <c r="G649" s="40"/>
    </row>
    <row r="650" spans="1:7">
      <c r="A650" s="39"/>
      <c r="B650" s="39"/>
      <c r="C650" s="39"/>
      <c r="D650" s="39"/>
      <c r="E650" s="39"/>
      <c r="F650" s="39"/>
      <c r="G650" s="39"/>
    </row>
    <row r="651" spans="1:7">
      <c r="A651" s="40"/>
      <c r="B651" s="40"/>
      <c r="C651" s="40"/>
      <c r="D651" s="40"/>
      <c r="E651" s="40"/>
      <c r="F651" s="40"/>
      <c r="G651" s="40"/>
    </row>
    <row r="652" spans="1:7">
      <c r="A652" s="39"/>
      <c r="B652" s="39"/>
      <c r="C652" s="39"/>
      <c r="D652" s="39"/>
      <c r="E652" s="39"/>
      <c r="F652" s="39"/>
      <c r="G652" s="39"/>
    </row>
    <row r="653" spans="1:7">
      <c r="A653" s="40"/>
      <c r="B653" s="40"/>
      <c r="C653" s="40"/>
      <c r="D653" s="40"/>
      <c r="E653" s="40"/>
      <c r="F653" s="40"/>
      <c r="G653" s="40"/>
    </row>
    <row r="654" spans="1:7">
      <c r="A654" s="39"/>
      <c r="B654" s="39"/>
      <c r="C654" s="39"/>
      <c r="D654" s="39"/>
      <c r="E654" s="39"/>
      <c r="F654" s="39"/>
      <c r="G654" s="39"/>
    </row>
    <row r="655" spans="1:7">
      <c r="A655" s="40"/>
      <c r="B655" s="40"/>
      <c r="C655" s="40"/>
      <c r="D655" s="40"/>
      <c r="E655" s="40"/>
      <c r="F655" s="40"/>
      <c r="G655" s="40"/>
    </row>
    <row r="656" spans="1:7">
      <c r="A656" s="39"/>
      <c r="B656" s="39"/>
      <c r="C656" s="39"/>
      <c r="D656" s="39"/>
      <c r="E656" s="39"/>
      <c r="F656" s="39"/>
      <c r="G656" s="39"/>
    </row>
    <row r="657" spans="1:7">
      <c r="A657" s="40"/>
      <c r="B657" s="40"/>
      <c r="C657" s="40"/>
      <c r="D657" s="40"/>
      <c r="E657" s="40"/>
      <c r="F657" s="40"/>
      <c r="G657" s="40"/>
    </row>
    <row r="658" spans="1:7">
      <c r="A658" s="39"/>
      <c r="B658" s="39"/>
      <c r="C658" s="39"/>
      <c r="D658" s="39"/>
      <c r="E658" s="39"/>
      <c r="F658" s="39"/>
      <c r="G658" s="39"/>
    </row>
    <row r="659" spans="1:7">
      <c r="A659" s="40"/>
      <c r="B659" s="40"/>
      <c r="C659" s="40"/>
      <c r="D659" s="40"/>
      <c r="E659" s="40"/>
      <c r="F659" s="40"/>
      <c r="G659" s="40"/>
    </row>
    <row r="660" spans="1:7">
      <c r="A660" s="39"/>
      <c r="B660" s="39"/>
      <c r="C660" s="39"/>
      <c r="D660" s="39"/>
      <c r="E660" s="39"/>
      <c r="F660" s="39"/>
      <c r="G660" s="39"/>
    </row>
    <row r="661" spans="1:7">
      <c r="A661" s="40"/>
      <c r="B661" s="40"/>
      <c r="C661" s="40"/>
      <c r="D661" s="40"/>
      <c r="E661" s="40"/>
      <c r="F661" s="40"/>
      <c r="G661" s="40"/>
    </row>
    <row r="662" spans="1:7">
      <c r="A662" s="39"/>
      <c r="B662" s="39"/>
      <c r="C662" s="39"/>
      <c r="D662" s="39"/>
      <c r="E662" s="39"/>
      <c r="F662" s="39"/>
      <c r="G662" s="39"/>
    </row>
    <row r="663" spans="1:7">
      <c r="A663" s="40"/>
      <c r="B663" s="40"/>
      <c r="C663" s="40"/>
      <c r="D663" s="40"/>
      <c r="E663" s="40"/>
      <c r="F663" s="40"/>
      <c r="G663" s="40"/>
    </row>
    <row r="664" spans="1:7">
      <c r="A664" s="39"/>
      <c r="B664" s="39"/>
      <c r="C664" s="39"/>
      <c r="D664" s="39"/>
      <c r="E664" s="39"/>
      <c r="F664" s="39"/>
      <c r="G664" s="39"/>
    </row>
    <row r="665" spans="1:7">
      <c r="A665" s="40"/>
      <c r="B665" s="40"/>
      <c r="C665" s="40"/>
      <c r="D665" s="40"/>
      <c r="E665" s="40"/>
      <c r="F665" s="40"/>
      <c r="G665" s="40"/>
    </row>
    <row r="666" spans="1:7">
      <c r="A666" s="39"/>
      <c r="B666" s="39"/>
      <c r="C666" s="39"/>
      <c r="D666" s="39"/>
      <c r="E666" s="39"/>
      <c r="F666" s="39"/>
      <c r="G666" s="39"/>
    </row>
    <row r="667" spans="1:7">
      <c r="A667" s="40"/>
      <c r="B667" s="40"/>
      <c r="C667" s="40"/>
      <c r="D667" s="40"/>
      <c r="E667" s="40"/>
      <c r="F667" s="40"/>
      <c r="G667" s="40"/>
    </row>
    <row r="668" spans="1:7">
      <c r="A668" s="39"/>
      <c r="B668" s="39"/>
      <c r="C668" s="39"/>
      <c r="D668" s="39"/>
      <c r="E668" s="39"/>
      <c r="F668" s="39"/>
      <c r="G668" s="39"/>
    </row>
    <row r="669" spans="1:7">
      <c r="A669" s="40"/>
      <c r="B669" s="40"/>
      <c r="C669" s="40"/>
      <c r="D669" s="40"/>
      <c r="E669" s="40"/>
      <c r="F669" s="40"/>
      <c r="G669" s="40"/>
    </row>
    <row r="670" spans="1:7">
      <c r="A670" s="39"/>
      <c r="B670" s="39"/>
      <c r="C670" s="39"/>
      <c r="D670" s="39"/>
      <c r="E670" s="39"/>
      <c r="F670" s="39"/>
      <c r="G670" s="39"/>
    </row>
    <row r="671" spans="1:7">
      <c r="A671" s="40"/>
      <c r="B671" s="40"/>
      <c r="C671" s="40"/>
      <c r="D671" s="40"/>
      <c r="E671" s="40"/>
      <c r="F671" s="40"/>
      <c r="G671" s="40"/>
    </row>
    <row r="672" spans="1:7">
      <c r="A672" s="39"/>
      <c r="B672" s="39"/>
      <c r="C672" s="39"/>
      <c r="D672" s="39"/>
      <c r="E672" s="39"/>
      <c r="F672" s="39"/>
      <c r="G672" s="39"/>
    </row>
    <row r="673" spans="1:7">
      <c r="A673" s="40"/>
      <c r="B673" s="40"/>
      <c r="C673" s="40"/>
      <c r="D673" s="40"/>
      <c r="E673" s="40"/>
      <c r="F673" s="40"/>
      <c r="G673" s="40"/>
    </row>
    <row r="674" spans="1:7">
      <c r="A674" s="39"/>
      <c r="B674" s="39"/>
      <c r="C674" s="39"/>
      <c r="D674" s="39"/>
      <c r="E674" s="39"/>
      <c r="F674" s="39"/>
      <c r="G674" s="39"/>
    </row>
    <row r="675" spans="1:7">
      <c r="A675" s="40"/>
      <c r="B675" s="40"/>
      <c r="C675" s="40"/>
      <c r="D675" s="40"/>
      <c r="E675" s="40"/>
      <c r="F675" s="40"/>
      <c r="G675" s="40"/>
    </row>
    <row r="676" spans="1:7">
      <c r="A676" s="39"/>
      <c r="B676" s="39"/>
      <c r="C676" s="39"/>
      <c r="D676" s="39"/>
      <c r="E676" s="39"/>
      <c r="F676" s="39"/>
      <c r="G676" s="39"/>
    </row>
    <row r="677" spans="1:7">
      <c r="A677" s="40"/>
      <c r="B677" s="40"/>
      <c r="C677" s="40"/>
      <c r="D677" s="40"/>
      <c r="E677" s="40"/>
      <c r="F677" s="40"/>
      <c r="G677" s="40"/>
    </row>
    <row r="678" spans="1:7">
      <c r="A678" s="39"/>
      <c r="B678" s="39"/>
      <c r="C678" s="39"/>
      <c r="D678" s="39"/>
      <c r="E678" s="39"/>
      <c r="F678" s="39"/>
      <c r="G678" s="39"/>
    </row>
    <row r="679" spans="1:7">
      <c r="A679" s="40"/>
      <c r="B679" s="40"/>
      <c r="C679" s="40"/>
      <c r="D679" s="40"/>
      <c r="E679" s="40"/>
      <c r="F679" s="40"/>
      <c r="G679" s="40"/>
    </row>
    <row r="680" spans="1:7">
      <c r="A680" s="39"/>
      <c r="B680" s="39"/>
      <c r="C680" s="39"/>
      <c r="D680" s="39"/>
      <c r="E680" s="39"/>
      <c r="F680" s="39"/>
      <c r="G680" s="39"/>
    </row>
    <row r="681" spans="1:7">
      <c r="A681" s="40"/>
      <c r="B681" s="40"/>
      <c r="C681" s="40"/>
      <c r="D681" s="40"/>
      <c r="E681" s="40"/>
      <c r="F681" s="40"/>
      <c r="G681" s="40"/>
    </row>
    <row r="682" spans="1:7">
      <c r="A682" s="39"/>
      <c r="B682" s="39"/>
      <c r="C682" s="39"/>
      <c r="D682" s="39"/>
      <c r="E682" s="39"/>
      <c r="F682" s="39"/>
      <c r="G682" s="39"/>
    </row>
    <row r="683" spans="1:7">
      <c r="A683" s="40"/>
      <c r="B683" s="40"/>
      <c r="C683" s="40"/>
      <c r="D683" s="40"/>
      <c r="E683" s="40"/>
      <c r="F683" s="40"/>
      <c r="G683" s="40"/>
    </row>
    <row r="684" spans="1:7">
      <c r="A684" s="39"/>
      <c r="B684" s="39"/>
      <c r="C684" s="39"/>
      <c r="D684" s="39"/>
      <c r="E684" s="39"/>
      <c r="F684" s="39"/>
      <c r="G684" s="39"/>
    </row>
    <row r="685" spans="1:7">
      <c r="A685" s="40"/>
      <c r="B685" s="40"/>
      <c r="C685" s="40"/>
      <c r="D685" s="40"/>
      <c r="E685" s="40"/>
      <c r="F685" s="40"/>
      <c r="G685" s="40"/>
    </row>
    <row r="686" spans="1:7">
      <c r="A686" s="39"/>
      <c r="B686" s="39"/>
      <c r="C686" s="39"/>
      <c r="D686" s="39"/>
      <c r="E686" s="39"/>
      <c r="F686" s="39"/>
      <c r="G686" s="39"/>
    </row>
    <row r="687" spans="1:7">
      <c r="A687" s="40"/>
      <c r="B687" s="40"/>
      <c r="C687" s="40"/>
      <c r="D687" s="40"/>
      <c r="E687" s="40"/>
      <c r="F687" s="40"/>
      <c r="G687" s="40"/>
    </row>
    <row r="688" spans="1:7">
      <c r="A688" s="39"/>
      <c r="B688" s="39"/>
      <c r="C688" s="39"/>
      <c r="D688" s="39"/>
      <c r="E688" s="39"/>
      <c r="F688" s="39"/>
      <c r="G688" s="39"/>
    </row>
    <row r="689" spans="1:7">
      <c r="A689" s="40"/>
      <c r="B689" s="40"/>
      <c r="C689" s="40"/>
      <c r="D689" s="40"/>
      <c r="E689" s="40"/>
      <c r="F689" s="40"/>
      <c r="G689" s="40"/>
    </row>
    <row r="690" spans="1:7">
      <c r="A690" s="39"/>
      <c r="B690" s="39"/>
      <c r="C690" s="39"/>
      <c r="D690" s="39"/>
      <c r="E690" s="39"/>
      <c r="F690" s="39"/>
      <c r="G690" s="39"/>
    </row>
    <row r="691" spans="1:7">
      <c r="A691" s="40"/>
      <c r="B691" s="40"/>
      <c r="C691" s="40"/>
      <c r="D691" s="40"/>
      <c r="E691" s="40"/>
      <c r="F691" s="40"/>
      <c r="G691" s="40"/>
    </row>
    <row r="692" spans="1:7">
      <c r="A692" s="39"/>
      <c r="B692" s="39"/>
      <c r="C692" s="39"/>
      <c r="D692" s="39"/>
      <c r="E692" s="39"/>
      <c r="F692" s="39"/>
      <c r="G692" s="39"/>
    </row>
    <row r="693" spans="1:7">
      <c r="A693" s="40"/>
      <c r="B693" s="40"/>
      <c r="C693" s="40"/>
      <c r="D693" s="40"/>
      <c r="E693" s="40"/>
      <c r="F693" s="40"/>
      <c r="G693" s="40"/>
    </row>
    <row r="694" spans="1:7">
      <c r="A694" s="39"/>
      <c r="B694" s="39"/>
      <c r="C694" s="39"/>
      <c r="D694" s="39"/>
      <c r="E694" s="39"/>
      <c r="F694" s="39"/>
      <c r="G694" s="39"/>
    </row>
    <row r="695" spans="1:7">
      <c r="A695" s="40"/>
      <c r="B695" s="40"/>
      <c r="C695" s="40"/>
      <c r="D695" s="40"/>
      <c r="E695" s="40"/>
      <c r="F695" s="40"/>
      <c r="G695" s="40"/>
    </row>
    <row r="696" spans="1:7">
      <c r="A696" s="39"/>
      <c r="B696" s="39"/>
      <c r="C696" s="39"/>
      <c r="D696" s="39"/>
      <c r="E696" s="39"/>
      <c r="F696" s="39"/>
      <c r="G696" s="39"/>
    </row>
    <row r="697" spans="1:7">
      <c r="A697" s="40"/>
      <c r="B697" s="40"/>
      <c r="C697" s="40"/>
      <c r="D697" s="40"/>
      <c r="E697" s="40"/>
      <c r="F697" s="40"/>
      <c r="G697" s="40"/>
    </row>
    <row r="698" spans="1:7">
      <c r="A698" s="39"/>
      <c r="B698" s="39"/>
      <c r="C698" s="39"/>
      <c r="D698" s="39"/>
      <c r="E698" s="39"/>
      <c r="F698" s="39"/>
      <c r="G698" s="39"/>
    </row>
    <row r="699" spans="1:7">
      <c r="A699" s="40"/>
      <c r="B699" s="40"/>
      <c r="C699" s="40"/>
      <c r="D699" s="40"/>
      <c r="E699" s="40"/>
      <c r="F699" s="40"/>
      <c r="G699" s="40"/>
    </row>
    <row r="700" spans="1:7">
      <c r="A700" s="39"/>
      <c r="B700" s="39"/>
      <c r="C700" s="39"/>
      <c r="D700" s="39"/>
      <c r="E700" s="39"/>
      <c r="F700" s="39"/>
      <c r="G700" s="39"/>
    </row>
    <row r="701" spans="1:7">
      <c r="A701" s="40"/>
      <c r="B701" s="40"/>
      <c r="C701" s="40"/>
      <c r="D701" s="40"/>
      <c r="E701" s="40"/>
      <c r="F701" s="40"/>
      <c r="G701" s="40"/>
    </row>
    <row r="702" spans="1:7">
      <c r="A702" s="39"/>
      <c r="B702" s="39"/>
      <c r="C702" s="39"/>
      <c r="D702" s="39"/>
      <c r="E702" s="39"/>
      <c r="F702" s="39"/>
      <c r="G702" s="39"/>
    </row>
    <row r="703" spans="1:7">
      <c r="A703" s="40"/>
      <c r="B703" s="40"/>
      <c r="C703" s="40"/>
      <c r="D703" s="40"/>
      <c r="E703" s="40"/>
      <c r="F703" s="40"/>
      <c r="G703" s="40"/>
    </row>
    <row r="704" spans="1:7">
      <c r="A704" s="39"/>
      <c r="B704" s="39"/>
      <c r="C704" s="39"/>
      <c r="D704" s="39"/>
      <c r="E704" s="39"/>
      <c r="F704" s="39"/>
      <c r="G704" s="39"/>
    </row>
    <row r="705" spans="1:7">
      <c r="A705" s="40"/>
      <c r="B705" s="40"/>
      <c r="C705" s="40"/>
      <c r="D705" s="40"/>
      <c r="E705" s="40"/>
      <c r="F705" s="40"/>
      <c r="G705" s="40"/>
    </row>
    <row r="706" spans="1:7">
      <c r="A706" s="39"/>
      <c r="B706" s="39"/>
      <c r="C706" s="39"/>
      <c r="D706" s="39"/>
      <c r="E706" s="39"/>
      <c r="F706" s="39"/>
      <c r="G706" s="39"/>
    </row>
    <row r="707" spans="1:7">
      <c r="A707" s="40"/>
      <c r="B707" s="40"/>
      <c r="C707" s="40"/>
      <c r="D707" s="40"/>
      <c r="E707" s="40"/>
      <c r="F707" s="40"/>
      <c r="G707" s="40"/>
    </row>
    <row r="708" spans="1:7">
      <c r="A708" s="39"/>
      <c r="B708" s="39"/>
      <c r="C708" s="39"/>
      <c r="D708" s="39"/>
      <c r="E708" s="39"/>
      <c r="F708" s="39"/>
      <c r="G708" s="39"/>
    </row>
    <row r="709" spans="1:7">
      <c r="A709" s="40"/>
      <c r="B709" s="40"/>
      <c r="C709" s="40"/>
      <c r="D709" s="40"/>
      <c r="E709" s="40"/>
      <c r="F709" s="40"/>
      <c r="G709" s="40"/>
    </row>
    <row r="710" spans="1:7">
      <c r="A710" s="39"/>
      <c r="B710" s="39"/>
      <c r="C710" s="39"/>
      <c r="D710" s="39"/>
      <c r="E710" s="39"/>
      <c r="F710" s="39"/>
      <c r="G710" s="39"/>
    </row>
    <row r="711" spans="1:7">
      <c r="A711" s="40"/>
      <c r="B711" s="40"/>
      <c r="C711" s="40"/>
      <c r="D711" s="40"/>
      <c r="E711" s="40"/>
      <c r="F711" s="40"/>
      <c r="G711" s="40"/>
    </row>
    <row r="712" spans="1:7">
      <c r="A712" s="39"/>
      <c r="B712" s="39"/>
      <c r="C712" s="39"/>
      <c r="D712" s="39"/>
      <c r="E712" s="39"/>
      <c r="F712" s="39"/>
      <c r="G712" s="39"/>
    </row>
    <row r="713" spans="1:7">
      <c r="A713" s="40"/>
      <c r="B713" s="40"/>
      <c r="C713" s="40"/>
      <c r="D713" s="40"/>
      <c r="E713" s="40"/>
      <c r="F713" s="40"/>
      <c r="G713" s="40"/>
    </row>
    <row r="714" spans="1:7">
      <c r="A714" s="39"/>
      <c r="B714" s="39"/>
      <c r="C714" s="39"/>
      <c r="D714" s="39"/>
      <c r="E714" s="39"/>
      <c r="F714" s="39"/>
      <c r="G714" s="39"/>
    </row>
    <row r="715" spans="1:7">
      <c r="A715" s="40"/>
      <c r="B715" s="40"/>
      <c r="C715" s="40"/>
      <c r="D715" s="40"/>
      <c r="E715" s="40"/>
      <c r="F715" s="40"/>
      <c r="G715" s="40"/>
    </row>
    <row r="716" spans="1:7">
      <c r="A716" s="39"/>
      <c r="B716" s="39"/>
      <c r="C716" s="39"/>
      <c r="D716" s="39"/>
      <c r="E716" s="39"/>
      <c r="F716" s="39"/>
      <c r="G716" s="39"/>
    </row>
    <row r="717" spans="1:7">
      <c r="A717" s="40"/>
      <c r="B717" s="40"/>
      <c r="C717" s="40"/>
      <c r="D717" s="40"/>
      <c r="E717" s="40"/>
      <c r="F717" s="40"/>
      <c r="G717" s="40"/>
    </row>
    <row r="718" spans="1:7">
      <c r="A718" s="39"/>
      <c r="B718" s="39"/>
      <c r="C718" s="39"/>
      <c r="D718" s="39"/>
      <c r="E718" s="39"/>
      <c r="F718" s="39"/>
      <c r="G718" s="39"/>
    </row>
    <row r="719" spans="1:7">
      <c r="A719" s="40"/>
      <c r="B719" s="40"/>
      <c r="C719" s="40"/>
      <c r="D719" s="40"/>
      <c r="E719" s="40"/>
      <c r="F719" s="40"/>
      <c r="G719" s="40"/>
    </row>
    <row r="720" spans="1:7">
      <c r="A720" s="39"/>
      <c r="B720" s="39"/>
      <c r="C720" s="39"/>
      <c r="D720" s="39"/>
      <c r="E720" s="39"/>
      <c r="F720" s="39"/>
      <c r="G720" s="39"/>
    </row>
    <row r="721" spans="1:7">
      <c r="A721" s="40"/>
      <c r="B721" s="40"/>
      <c r="C721" s="40"/>
      <c r="D721" s="40"/>
      <c r="E721" s="40"/>
      <c r="F721" s="40"/>
      <c r="G721" s="40"/>
    </row>
    <row r="722" spans="1:7">
      <c r="A722" s="39"/>
      <c r="B722" s="39"/>
      <c r="C722" s="39"/>
      <c r="D722" s="39"/>
      <c r="E722" s="39"/>
      <c r="F722" s="39"/>
      <c r="G722" s="39"/>
    </row>
    <row r="723" spans="1:7">
      <c r="A723" s="40"/>
      <c r="B723" s="40"/>
      <c r="C723" s="40"/>
      <c r="D723" s="40"/>
      <c r="E723" s="40"/>
      <c r="F723" s="40"/>
      <c r="G723" s="40"/>
    </row>
    <row r="724" spans="1:7">
      <c r="A724" s="39"/>
      <c r="B724" s="39"/>
      <c r="C724" s="39"/>
      <c r="D724" s="39"/>
      <c r="E724" s="39"/>
      <c r="F724" s="39"/>
      <c r="G724" s="39"/>
    </row>
    <row r="725" spans="1:7">
      <c r="A725" s="40"/>
      <c r="B725" s="40"/>
      <c r="C725" s="40"/>
      <c r="D725" s="40"/>
      <c r="E725" s="40"/>
      <c r="F725" s="40"/>
      <c r="G725" s="40"/>
    </row>
    <row r="726" spans="1:7">
      <c r="A726" s="39"/>
      <c r="B726" s="39"/>
      <c r="C726" s="39"/>
      <c r="D726" s="39"/>
      <c r="E726" s="39"/>
      <c r="F726" s="39"/>
      <c r="G726" s="39"/>
    </row>
    <row r="727" spans="1:7">
      <c r="A727" s="40"/>
      <c r="B727" s="40"/>
      <c r="C727" s="40"/>
      <c r="D727" s="40"/>
      <c r="E727" s="40"/>
      <c r="F727" s="40"/>
      <c r="G727" s="40"/>
    </row>
    <row r="728" spans="1:7">
      <c r="A728" s="39"/>
      <c r="B728" s="39"/>
      <c r="C728" s="39"/>
      <c r="D728" s="39"/>
      <c r="E728" s="39"/>
      <c r="F728" s="39"/>
      <c r="G728" s="39"/>
    </row>
    <row r="729" spans="1:7">
      <c r="A729" s="40"/>
      <c r="B729" s="40"/>
      <c r="C729" s="40"/>
      <c r="D729" s="40"/>
      <c r="E729" s="40"/>
      <c r="F729" s="40"/>
      <c r="G729" s="40"/>
    </row>
    <row r="730" spans="1:7">
      <c r="A730" s="39"/>
      <c r="B730" s="39"/>
      <c r="C730" s="39"/>
      <c r="D730" s="39"/>
      <c r="E730" s="39"/>
      <c r="F730" s="39"/>
      <c r="G730" s="39"/>
    </row>
    <row r="731" spans="1:7">
      <c r="A731" s="40"/>
      <c r="B731" s="40"/>
      <c r="C731" s="40"/>
      <c r="D731" s="40"/>
      <c r="E731" s="40"/>
      <c r="F731" s="40"/>
      <c r="G731" s="40"/>
    </row>
    <row r="732" spans="1:7">
      <c r="A732" s="39"/>
      <c r="B732" s="39"/>
      <c r="C732" s="39"/>
      <c r="D732" s="39"/>
      <c r="E732" s="39"/>
      <c r="F732" s="39"/>
      <c r="G732" s="39"/>
    </row>
    <row r="733" spans="1:7">
      <c r="A733" s="40"/>
      <c r="B733" s="40"/>
      <c r="C733" s="40"/>
      <c r="D733" s="40"/>
      <c r="E733" s="40"/>
      <c r="F733" s="40"/>
      <c r="G733" s="40"/>
    </row>
    <row r="734" spans="1:7">
      <c r="A734" s="39"/>
      <c r="B734" s="39"/>
      <c r="C734" s="39"/>
      <c r="D734" s="39"/>
      <c r="E734" s="39"/>
      <c r="F734" s="39"/>
      <c r="G734" s="39"/>
    </row>
    <row r="735" spans="1:7">
      <c r="A735" s="40"/>
      <c r="B735" s="40"/>
      <c r="C735" s="40"/>
      <c r="D735" s="40"/>
      <c r="E735" s="40"/>
      <c r="F735" s="40"/>
      <c r="G735" s="40"/>
    </row>
    <row r="736" spans="1:7">
      <c r="A736" s="39"/>
      <c r="B736" s="39"/>
      <c r="C736" s="39"/>
      <c r="D736" s="39"/>
      <c r="E736" s="39"/>
      <c r="F736" s="39"/>
      <c r="G736" s="39"/>
    </row>
    <row r="737" spans="1:7">
      <c r="A737" s="40"/>
      <c r="B737" s="40"/>
      <c r="C737" s="40"/>
      <c r="D737" s="40"/>
      <c r="E737" s="40"/>
      <c r="F737" s="40"/>
      <c r="G737" s="40"/>
    </row>
    <row r="738" spans="1:7">
      <c r="A738" s="39"/>
      <c r="B738" s="39"/>
      <c r="C738" s="39"/>
      <c r="D738" s="39"/>
      <c r="E738" s="39"/>
      <c r="F738" s="39"/>
      <c r="G738" s="39"/>
    </row>
    <row r="739" spans="1:7">
      <c r="A739" s="40"/>
      <c r="B739" s="40"/>
      <c r="C739" s="40"/>
      <c r="D739" s="40"/>
      <c r="E739" s="40"/>
      <c r="F739" s="40"/>
      <c r="G739" s="40"/>
    </row>
    <row r="740" spans="1:7">
      <c r="A740" s="39"/>
      <c r="B740" s="39"/>
      <c r="C740" s="39"/>
      <c r="D740" s="39"/>
      <c r="E740" s="39"/>
      <c r="F740" s="39"/>
      <c r="G740" s="39"/>
    </row>
    <row r="741" spans="1:7">
      <c r="A741" s="40"/>
      <c r="B741" s="40"/>
      <c r="C741" s="40"/>
      <c r="D741" s="40"/>
      <c r="E741" s="40"/>
      <c r="F741" s="40"/>
      <c r="G741" s="40"/>
    </row>
    <row r="742" spans="1:7">
      <c r="A742" s="39"/>
      <c r="B742" s="39"/>
      <c r="C742" s="39"/>
      <c r="D742" s="39"/>
      <c r="E742" s="39"/>
      <c r="F742" s="39"/>
      <c r="G742" s="39"/>
    </row>
    <row r="743" spans="1:7">
      <c r="A743" s="40"/>
      <c r="B743" s="40"/>
      <c r="C743" s="40"/>
      <c r="D743" s="40"/>
      <c r="E743" s="40"/>
      <c r="F743" s="40"/>
      <c r="G743" s="40"/>
    </row>
    <row r="744" spans="1:7">
      <c r="A744" s="39"/>
      <c r="B744" s="39"/>
      <c r="C744" s="39"/>
      <c r="D744" s="39"/>
      <c r="E744" s="39"/>
      <c r="F744" s="39"/>
      <c r="G744" s="39"/>
    </row>
    <row r="745" spans="1:7">
      <c r="A745" s="40"/>
      <c r="B745" s="40"/>
      <c r="C745" s="40"/>
      <c r="D745" s="40"/>
      <c r="E745" s="40"/>
      <c r="F745" s="40"/>
      <c r="G745" s="40"/>
    </row>
    <row r="746" spans="1:7">
      <c r="A746" s="39"/>
      <c r="B746" s="39"/>
      <c r="C746" s="39"/>
      <c r="D746" s="39"/>
      <c r="E746" s="39"/>
      <c r="F746" s="39"/>
      <c r="G746" s="39"/>
    </row>
    <row r="747" spans="1:7">
      <c r="A747" s="40"/>
      <c r="B747" s="40"/>
      <c r="C747" s="40"/>
      <c r="D747" s="40"/>
      <c r="E747" s="40"/>
      <c r="F747" s="40"/>
      <c r="G747" s="40"/>
    </row>
    <row r="748" spans="1:7">
      <c r="A748" s="39"/>
      <c r="B748" s="39"/>
      <c r="C748" s="39"/>
      <c r="D748" s="39"/>
      <c r="E748" s="39"/>
      <c r="F748" s="39"/>
      <c r="G748" s="39"/>
    </row>
    <row r="749" spans="1:7">
      <c r="A749" s="40"/>
      <c r="B749" s="40"/>
      <c r="C749" s="40"/>
      <c r="D749" s="40"/>
      <c r="E749" s="40"/>
      <c r="F749" s="40"/>
      <c r="G749" s="40"/>
    </row>
    <row r="750" spans="1:7">
      <c r="A750" s="39"/>
      <c r="B750" s="39"/>
      <c r="C750" s="39"/>
      <c r="D750" s="39"/>
      <c r="E750" s="39"/>
      <c r="F750" s="39"/>
      <c r="G750" s="39"/>
    </row>
    <row r="751" spans="1:7">
      <c r="A751" s="40"/>
      <c r="B751" s="40"/>
      <c r="C751" s="40"/>
      <c r="D751" s="40"/>
      <c r="E751" s="40"/>
      <c r="F751" s="40"/>
      <c r="G751" s="40"/>
    </row>
    <row r="752" spans="1:7">
      <c r="A752" s="39"/>
      <c r="B752" s="39"/>
      <c r="C752" s="39"/>
      <c r="D752" s="39"/>
      <c r="E752" s="39"/>
      <c r="F752" s="39"/>
      <c r="G752" s="39"/>
    </row>
    <row r="753" spans="1:7">
      <c r="A753" s="40"/>
      <c r="B753" s="40"/>
      <c r="C753" s="40"/>
      <c r="D753" s="40"/>
      <c r="E753" s="40"/>
      <c r="F753" s="40"/>
      <c r="G753" s="40"/>
    </row>
    <row r="754" spans="1:7">
      <c r="A754" s="39"/>
      <c r="B754" s="39"/>
      <c r="C754" s="39"/>
      <c r="D754" s="39"/>
      <c r="E754" s="39"/>
      <c r="F754" s="39"/>
      <c r="G754" s="39"/>
    </row>
    <row r="755" spans="1:7">
      <c r="A755" s="40"/>
      <c r="B755" s="40"/>
      <c r="C755" s="40"/>
      <c r="D755" s="40"/>
      <c r="E755" s="40"/>
      <c r="F755" s="40"/>
      <c r="G755" s="40"/>
    </row>
    <row r="756" spans="1:7">
      <c r="A756" s="39"/>
      <c r="B756" s="39"/>
      <c r="C756" s="39"/>
      <c r="D756" s="39"/>
      <c r="E756" s="39"/>
      <c r="F756" s="39"/>
      <c r="G756" s="39"/>
    </row>
    <row r="757" spans="1:7">
      <c r="A757" s="40"/>
      <c r="B757" s="40"/>
      <c r="C757" s="40"/>
      <c r="D757" s="40"/>
      <c r="E757" s="40"/>
      <c r="F757" s="40"/>
      <c r="G757" s="40"/>
    </row>
    <row r="758" spans="1:7">
      <c r="A758" s="39"/>
      <c r="B758" s="39"/>
      <c r="C758" s="39"/>
      <c r="D758" s="39"/>
      <c r="E758" s="39"/>
      <c r="F758" s="39"/>
      <c r="G758" s="39"/>
    </row>
    <row r="759" spans="1:7">
      <c r="A759" s="40"/>
      <c r="B759" s="40"/>
      <c r="C759" s="40"/>
      <c r="D759" s="40"/>
      <c r="E759" s="40"/>
      <c r="F759" s="40"/>
      <c r="G759" s="40"/>
    </row>
    <row r="760" spans="1:7">
      <c r="A760" s="39"/>
      <c r="B760" s="39"/>
      <c r="C760" s="39"/>
      <c r="D760" s="39"/>
      <c r="E760" s="39"/>
      <c r="F760" s="39"/>
      <c r="G760" s="39"/>
    </row>
    <row r="761" spans="1:7">
      <c r="A761" s="40"/>
      <c r="B761" s="40"/>
      <c r="C761" s="40"/>
      <c r="D761" s="40"/>
      <c r="E761" s="40"/>
      <c r="F761" s="40"/>
      <c r="G761" s="40"/>
    </row>
    <row r="762" spans="1:7">
      <c r="A762" s="39"/>
      <c r="B762" s="39"/>
      <c r="C762" s="39"/>
      <c r="D762" s="39"/>
      <c r="E762" s="39"/>
      <c r="F762" s="39"/>
      <c r="G762" s="39"/>
    </row>
    <row r="763" spans="1:7">
      <c r="A763" s="40"/>
      <c r="B763" s="40"/>
      <c r="C763" s="40"/>
      <c r="D763" s="40"/>
      <c r="E763" s="40"/>
      <c r="F763" s="40"/>
      <c r="G763" s="40"/>
    </row>
    <row r="764" spans="1:7">
      <c r="A764" s="39"/>
      <c r="B764" s="39"/>
      <c r="C764" s="39"/>
      <c r="D764" s="39"/>
      <c r="E764" s="39"/>
      <c r="F764" s="39"/>
      <c r="G764" s="39"/>
    </row>
    <row r="765" spans="1:7">
      <c r="A765" s="40"/>
      <c r="B765" s="40"/>
      <c r="C765" s="40"/>
      <c r="D765" s="40"/>
      <c r="E765" s="40"/>
      <c r="F765" s="40"/>
      <c r="G765" s="40"/>
    </row>
    <row r="766" spans="1:7">
      <c r="A766" s="39"/>
      <c r="B766" s="39"/>
      <c r="C766" s="39"/>
      <c r="D766" s="39"/>
      <c r="E766" s="39"/>
      <c r="F766" s="39"/>
      <c r="G766" s="39"/>
    </row>
    <row r="767" spans="1:7">
      <c r="A767" s="40"/>
      <c r="B767" s="40"/>
      <c r="C767" s="40"/>
      <c r="D767" s="40"/>
      <c r="E767" s="40"/>
      <c r="F767" s="40"/>
      <c r="G767" s="40"/>
    </row>
    <row r="768" spans="1:7">
      <c r="A768" s="39"/>
      <c r="B768" s="39"/>
      <c r="C768" s="39"/>
      <c r="D768" s="39"/>
      <c r="E768" s="39"/>
      <c r="F768" s="39"/>
      <c r="G768" s="39"/>
    </row>
    <row r="769" spans="1:7">
      <c r="A769" s="40"/>
      <c r="B769" s="40"/>
      <c r="C769" s="40"/>
      <c r="D769" s="40"/>
      <c r="E769" s="40"/>
      <c r="F769" s="40"/>
      <c r="G769" s="40"/>
    </row>
    <row r="770" spans="1:7">
      <c r="A770" s="39"/>
      <c r="B770" s="39"/>
      <c r="C770" s="39"/>
      <c r="D770" s="39"/>
      <c r="E770" s="39"/>
      <c r="F770" s="39"/>
      <c r="G770" s="39"/>
    </row>
    <row r="771" spans="1:7">
      <c r="A771" s="40"/>
      <c r="B771" s="40"/>
      <c r="C771" s="40"/>
      <c r="D771" s="40"/>
      <c r="E771" s="40"/>
      <c r="F771" s="40"/>
      <c r="G771" s="40"/>
    </row>
    <row r="772" spans="1:7">
      <c r="A772" s="39"/>
      <c r="B772" s="39"/>
      <c r="C772" s="39"/>
      <c r="D772" s="39"/>
      <c r="E772" s="39"/>
      <c r="F772" s="39"/>
      <c r="G772" s="39"/>
    </row>
    <row r="773" spans="1:7">
      <c r="A773" s="40"/>
      <c r="B773" s="40"/>
      <c r="C773" s="40"/>
      <c r="D773" s="40"/>
      <c r="E773" s="40"/>
      <c r="F773" s="40"/>
      <c r="G773" s="40"/>
    </row>
    <row r="774" spans="1:7">
      <c r="A774" s="39"/>
      <c r="B774" s="39"/>
      <c r="C774" s="39"/>
      <c r="D774" s="39"/>
      <c r="E774" s="39"/>
      <c r="F774" s="39"/>
      <c r="G774" s="39"/>
    </row>
    <row r="775" spans="1:7">
      <c r="A775" s="40"/>
      <c r="B775" s="40"/>
      <c r="C775" s="40"/>
      <c r="D775" s="40"/>
      <c r="E775" s="40"/>
      <c r="F775" s="40"/>
      <c r="G775" s="40"/>
    </row>
    <row r="776" spans="1:7">
      <c r="A776" s="39"/>
      <c r="B776" s="39"/>
      <c r="C776" s="39"/>
      <c r="D776" s="39"/>
      <c r="E776" s="39"/>
      <c r="F776" s="39"/>
      <c r="G776" s="39"/>
    </row>
    <row r="777" spans="1:7">
      <c r="A777" s="40"/>
      <c r="B777" s="40"/>
      <c r="C777" s="40"/>
      <c r="D777" s="40"/>
      <c r="E777" s="40"/>
      <c r="F777" s="40"/>
      <c r="G777" s="40"/>
    </row>
    <row r="778" spans="1:7">
      <c r="A778" s="39"/>
      <c r="B778" s="39"/>
      <c r="C778" s="39"/>
      <c r="D778" s="39"/>
      <c r="E778" s="39"/>
      <c r="F778" s="39"/>
      <c r="G778" s="39"/>
    </row>
    <row r="779" spans="1:7">
      <c r="A779" s="40"/>
      <c r="B779" s="40"/>
      <c r="C779" s="40"/>
      <c r="D779" s="40"/>
      <c r="E779" s="40"/>
      <c r="F779" s="40"/>
      <c r="G779" s="40"/>
    </row>
    <row r="780" spans="1:7">
      <c r="A780" s="39"/>
      <c r="B780" s="39"/>
      <c r="C780" s="39"/>
      <c r="D780" s="39"/>
      <c r="E780" s="39"/>
      <c r="F780" s="39"/>
      <c r="G780" s="39"/>
    </row>
    <row r="781" spans="1:7">
      <c r="A781" s="40"/>
      <c r="B781" s="40"/>
      <c r="C781" s="40"/>
      <c r="D781" s="40"/>
      <c r="E781" s="40"/>
      <c r="F781" s="40"/>
      <c r="G781" s="40"/>
    </row>
    <row r="782" spans="1:7">
      <c r="A782" s="39"/>
      <c r="B782" s="39"/>
      <c r="C782" s="39"/>
      <c r="D782" s="39"/>
      <c r="E782" s="39"/>
      <c r="F782" s="39"/>
      <c r="G782" s="39"/>
    </row>
    <row r="783" spans="1:7">
      <c r="A783" s="40"/>
      <c r="B783" s="40"/>
      <c r="C783" s="40"/>
      <c r="D783" s="40"/>
      <c r="E783" s="40"/>
      <c r="F783" s="40"/>
      <c r="G783" s="40"/>
    </row>
    <row r="784" spans="1:7">
      <c r="A784" s="39"/>
      <c r="B784" s="39"/>
      <c r="C784" s="39"/>
      <c r="D784" s="39"/>
      <c r="E784" s="39"/>
      <c r="F784" s="39"/>
      <c r="G784" s="39"/>
    </row>
    <row r="785" spans="1:7">
      <c r="A785" s="40"/>
      <c r="B785" s="40"/>
      <c r="C785" s="40"/>
      <c r="D785" s="40"/>
      <c r="E785" s="40"/>
      <c r="F785" s="40"/>
      <c r="G785" s="40"/>
    </row>
    <row r="786" spans="1:7">
      <c r="A786" s="39"/>
      <c r="B786" s="39"/>
      <c r="C786" s="39"/>
      <c r="D786" s="39"/>
      <c r="E786" s="39"/>
      <c r="F786" s="39"/>
      <c r="G786" s="39"/>
    </row>
    <row r="787" spans="1:7">
      <c r="A787" s="40"/>
      <c r="B787" s="40"/>
      <c r="C787" s="40"/>
      <c r="D787" s="40"/>
      <c r="E787" s="40"/>
      <c r="F787" s="40"/>
      <c r="G787" s="40"/>
    </row>
    <row r="788" spans="1:7">
      <c r="A788" s="39"/>
      <c r="B788" s="39"/>
      <c r="C788" s="39"/>
      <c r="D788" s="39"/>
      <c r="E788" s="39"/>
      <c r="F788" s="39"/>
      <c r="G788" s="39"/>
    </row>
    <row r="789" spans="1:7">
      <c r="A789" s="40"/>
      <c r="B789" s="40"/>
      <c r="C789" s="40"/>
      <c r="D789" s="40"/>
      <c r="E789" s="40"/>
      <c r="F789" s="40"/>
      <c r="G789" s="40"/>
    </row>
    <row r="790" spans="1:7">
      <c r="A790" s="39"/>
      <c r="B790" s="39"/>
      <c r="C790" s="39"/>
      <c r="D790" s="39"/>
      <c r="E790" s="39"/>
      <c r="F790" s="39"/>
      <c r="G790" s="39"/>
    </row>
    <row r="791" spans="1:7">
      <c r="A791" s="40"/>
      <c r="B791" s="40"/>
      <c r="C791" s="40"/>
      <c r="D791" s="40"/>
      <c r="E791" s="40"/>
      <c r="F791" s="40"/>
      <c r="G791" s="40"/>
    </row>
    <row r="792" spans="1:7">
      <c r="A792" s="39"/>
      <c r="B792" s="39"/>
      <c r="C792" s="39"/>
      <c r="D792" s="39"/>
      <c r="E792" s="39"/>
      <c r="F792" s="39"/>
      <c r="G792" s="39"/>
    </row>
    <row r="793" spans="1:7">
      <c r="A793" s="40"/>
      <c r="B793" s="40"/>
      <c r="C793" s="40"/>
      <c r="D793" s="40"/>
      <c r="E793" s="40"/>
      <c r="F793" s="40"/>
      <c r="G793" s="40"/>
    </row>
    <row r="794" spans="1:7">
      <c r="A794" s="39"/>
      <c r="B794" s="39"/>
      <c r="C794" s="39"/>
      <c r="D794" s="39"/>
      <c r="E794" s="39"/>
      <c r="F794" s="39"/>
      <c r="G794" s="39"/>
    </row>
    <row r="795" spans="1:7">
      <c r="A795" s="40"/>
      <c r="B795" s="40"/>
      <c r="C795" s="40"/>
      <c r="D795" s="40"/>
      <c r="E795" s="40"/>
      <c r="F795" s="40"/>
      <c r="G795" s="40"/>
    </row>
    <row r="796" spans="1:7">
      <c r="A796" s="39"/>
      <c r="B796" s="39"/>
      <c r="C796" s="39"/>
      <c r="D796" s="39"/>
      <c r="E796" s="39"/>
      <c r="F796" s="39"/>
      <c r="G796" s="39"/>
    </row>
    <row r="797" spans="1:7">
      <c r="A797" s="40"/>
      <c r="B797" s="40"/>
      <c r="C797" s="40"/>
      <c r="D797" s="40"/>
      <c r="E797" s="40"/>
      <c r="F797" s="40"/>
      <c r="G797" s="40"/>
    </row>
    <row r="798" spans="1:7">
      <c r="A798" s="39"/>
      <c r="B798" s="39"/>
      <c r="C798" s="39"/>
      <c r="D798" s="39"/>
      <c r="E798" s="39"/>
      <c r="F798" s="39"/>
      <c r="G798" s="39"/>
    </row>
    <row r="799" spans="1:7">
      <c r="A799" s="40"/>
      <c r="B799" s="40"/>
      <c r="C799" s="40"/>
      <c r="D799" s="40"/>
      <c r="E799" s="40"/>
      <c r="F799" s="40"/>
      <c r="G799" s="40"/>
    </row>
    <row r="800" spans="1:7">
      <c r="A800" s="39"/>
      <c r="B800" s="39"/>
      <c r="C800" s="39"/>
      <c r="D800" s="39"/>
      <c r="E800" s="39"/>
      <c r="F800" s="39"/>
      <c r="G800" s="39"/>
    </row>
    <row r="801" spans="1:7">
      <c r="A801" s="40"/>
      <c r="B801" s="40"/>
      <c r="C801" s="40"/>
      <c r="D801" s="40"/>
      <c r="E801" s="40"/>
      <c r="F801" s="40"/>
      <c r="G801" s="40"/>
    </row>
    <row r="802" spans="1:7">
      <c r="A802" s="39"/>
      <c r="B802" s="39"/>
      <c r="C802" s="39"/>
      <c r="D802" s="39"/>
      <c r="E802" s="39"/>
      <c r="F802" s="39"/>
      <c r="G802" s="39"/>
    </row>
    <row r="803" spans="1:7">
      <c r="A803" s="40"/>
      <c r="B803" s="40"/>
      <c r="C803" s="40"/>
      <c r="D803" s="40"/>
      <c r="E803" s="40"/>
      <c r="F803" s="40"/>
      <c r="G803" s="40"/>
    </row>
    <row r="804" spans="1:7">
      <c r="A804" s="39"/>
      <c r="B804" s="39"/>
      <c r="C804" s="39"/>
      <c r="D804" s="39"/>
      <c r="E804" s="39"/>
      <c r="F804" s="39"/>
      <c r="G804" s="39"/>
    </row>
    <row r="805" spans="1:7">
      <c r="A805" s="40"/>
      <c r="B805" s="40"/>
      <c r="C805" s="40"/>
      <c r="D805" s="40"/>
      <c r="E805" s="40"/>
      <c r="F805" s="40"/>
      <c r="G805" s="40"/>
    </row>
    <row r="806" spans="1:7">
      <c r="A806" s="39"/>
      <c r="B806" s="39"/>
      <c r="C806" s="39"/>
      <c r="D806" s="39"/>
      <c r="E806" s="39"/>
      <c r="F806" s="39"/>
      <c r="G806" s="39"/>
    </row>
    <row r="807" spans="1:7">
      <c r="A807" s="40"/>
      <c r="B807" s="40"/>
      <c r="C807" s="40"/>
      <c r="D807" s="40"/>
      <c r="E807" s="40"/>
      <c r="F807" s="40"/>
      <c r="G807" s="40"/>
    </row>
    <row r="808" spans="1:7">
      <c r="A808" s="39"/>
      <c r="B808" s="39"/>
      <c r="C808" s="39"/>
      <c r="D808" s="39"/>
      <c r="E808" s="39"/>
      <c r="F808" s="39"/>
      <c r="G808" s="39"/>
    </row>
    <row r="809" spans="1:7">
      <c r="A809" s="40"/>
      <c r="B809" s="40"/>
      <c r="C809" s="40"/>
      <c r="D809" s="40"/>
      <c r="E809" s="40"/>
      <c r="F809" s="40"/>
      <c r="G809" s="40"/>
    </row>
    <row r="810" spans="1:7">
      <c r="A810" s="39"/>
      <c r="B810" s="39"/>
      <c r="C810" s="39"/>
      <c r="D810" s="39"/>
      <c r="E810" s="39"/>
      <c r="F810" s="39"/>
      <c r="G810" s="39"/>
    </row>
    <row r="811" spans="1:7">
      <c r="A811" s="40"/>
      <c r="B811" s="40"/>
      <c r="C811" s="40"/>
      <c r="D811" s="40"/>
      <c r="E811" s="40"/>
      <c r="F811" s="40"/>
      <c r="G811" s="40"/>
    </row>
    <row r="812" spans="1:7">
      <c r="A812" s="39"/>
      <c r="B812" s="39"/>
      <c r="C812" s="39"/>
      <c r="D812" s="39"/>
      <c r="E812" s="39"/>
      <c r="F812" s="39"/>
      <c r="G812" s="39"/>
    </row>
    <row r="813" spans="1:7">
      <c r="A813" s="40"/>
      <c r="B813" s="40"/>
      <c r="C813" s="40"/>
      <c r="D813" s="40"/>
      <c r="E813" s="40"/>
      <c r="F813" s="40"/>
      <c r="G813" s="40"/>
    </row>
    <row r="814" spans="1:7">
      <c r="A814" s="39"/>
      <c r="B814" s="39"/>
      <c r="C814" s="39"/>
      <c r="D814" s="39"/>
      <c r="E814" s="39"/>
      <c r="F814" s="39"/>
      <c r="G814" s="39"/>
    </row>
    <row r="815" spans="1:7">
      <c r="A815" s="40"/>
      <c r="B815" s="40"/>
      <c r="C815" s="40"/>
      <c r="D815" s="40"/>
      <c r="E815" s="40"/>
      <c r="F815" s="40"/>
      <c r="G815" s="40"/>
    </row>
    <row r="816" spans="1:7">
      <c r="A816" s="39"/>
      <c r="B816" s="39"/>
      <c r="C816" s="39"/>
      <c r="D816" s="39"/>
      <c r="E816" s="39"/>
      <c r="F816" s="39"/>
      <c r="G816" s="39"/>
    </row>
    <row r="817" spans="1:7">
      <c r="A817" s="40"/>
      <c r="B817" s="40"/>
      <c r="C817" s="40"/>
      <c r="D817" s="40"/>
      <c r="E817" s="40"/>
      <c r="F817" s="40"/>
      <c r="G817" s="40"/>
    </row>
    <row r="818" spans="1:7">
      <c r="A818" s="39"/>
      <c r="B818" s="39"/>
      <c r="C818" s="39"/>
      <c r="D818" s="39"/>
      <c r="E818" s="39"/>
      <c r="F818" s="39"/>
      <c r="G818" s="39"/>
    </row>
    <row r="819" spans="1:7">
      <c r="A819" s="40"/>
      <c r="B819" s="40"/>
      <c r="C819" s="40"/>
      <c r="D819" s="40"/>
      <c r="E819" s="40"/>
      <c r="F819" s="40"/>
      <c r="G819" s="40"/>
    </row>
    <row r="820" spans="1:7">
      <c r="A820" s="39"/>
      <c r="B820" s="39"/>
      <c r="C820" s="39"/>
      <c r="D820" s="39"/>
      <c r="E820" s="39"/>
      <c r="F820" s="39"/>
      <c r="G820" s="39"/>
    </row>
    <row r="821" spans="1:7">
      <c r="A821" s="40"/>
      <c r="B821" s="40"/>
      <c r="C821" s="40"/>
      <c r="D821" s="40"/>
      <c r="E821" s="40"/>
      <c r="F821" s="40"/>
      <c r="G821" s="40"/>
    </row>
    <row r="822" spans="1:7">
      <c r="A822" s="39"/>
      <c r="B822" s="39"/>
      <c r="C822" s="39"/>
      <c r="D822" s="39"/>
      <c r="E822" s="39"/>
      <c r="F822" s="39"/>
      <c r="G822" s="39"/>
    </row>
    <row r="823" spans="1:7">
      <c r="A823" s="40"/>
      <c r="B823" s="40"/>
      <c r="C823" s="40"/>
      <c r="D823" s="40"/>
      <c r="E823" s="40"/>
      <c r="F823" s="40"/>
      <c r="G823" s="40"/>
    </row>
    <row r="824" spans="1:7">
      <c r="A824" s="39"/>
      <c r="B824" s="39"/>
      <c r="C824" s="39"/>
      <c r="D824" s="39"/>
      <c r="E824" s="39"/>
      <c r="F824" s="39"/>
      <c r="G824" s="39"/>
    </row>
    <row r="825" spans="1:7">
      <c r="A825" s="40"/>
      <c r="B825" s="40"/>
      <c r="C825" s="40"/>
      <c r="D825" s="40"/>
      <c r="E825" s="40"/>
      <c r="F825" s="40"/>
      <c r="G825" s="40"/>
    </row>
    <row r="826" spans="1:7">
      <c r="A826" s="39"/>
      <c r="B826" s="39"/>
      <c r="C826" s="39"/>
      <c r="D826" s="39"/>
      <c r="E826" s="39"/>
      <c r="F826" s="39"/>
      <c r="G826" s="39"/>
    </row>
    <row r="827" spans="1:7">
      <c r="A827" s="40"/>
      <c r="B827" s="40"/>
      <c r="C827" s="40"/>
      <c r="D827" s="40"/>
      <c r="E827" s="40"/>
      <c r="F827" s="40"/>
      <c r="G827" s="40"/>
    </row>
    <row r="828" spans="1:7">
      <c r="A828" s="39"/>
      <c r="B828" s="39"/>
      <c r="C828" s="39"/>
      <c r="D828" s="39"/>
      <c r="E828" s="39"/>
      <c r="F828" s="39"/>
      <c r="G828" s="39"/>
    </row>
    <row r="829" spans="1:7">
      <c r="A829" s="40"/>
      <c r="B829" s="40"/>
      <c r="C829" s="40"/>
      <c r="D829" s="40"/>
      <c r="E829" s="40"/>
      <c r="F829" s="40"/>
      <c r="G829" s="40"/>
    </row>
    <row r="830" spans="1:7">
      <c r="A830" s="39"/>
      <c r="B830" s="39"/>
      <c r="C830" s="39"/>
      <c r="D830" s="39"/>
      <c r="E830" s="39"/>
      <c r="F830" s="39"/>
      <c r="G830" s="39"/>
    </row>
    <row r="831" spans="1:7">
      <c r="A831" s="40"/>
      <c r="B831" s="40"/>
      <c r="C831" s="40"/>
      <c r="D831" s="40"/>
      <c r="E831" s="40"/>
      <c r="F831" s="40"/>
      <c r="G831" s="40"/>
    </row>
    <row r="832" spans="1:7">
      <c r="A832" s="39"/>
      <c r="B832" s="39"/>
      <c r="C832" s="39"/>
      <c r="D832" s="39"/>
      <c r="E832" s="39"/>
      <c r="F832" s="39"/>
      <c r="G832" s="39"/>
    </row>
    <row r="833" spans="1:7">
      <c r="A833" s="40"/>
      <c r="B833" s="40"/>
      <c r="C833" s="40"/>
      <c r="D833" s="40"/>
      <c r="E833" s="40"/>
      <c r="F833" s="40"/>
      <c r="G833" s="40"/>
    </row>
    <row r="834" spans="1:7">
      <c r="A834" s="39"/>
      <c r="B834" s="39"/>
      <c r="C834" s="39"/>
      <c r="D834" s="39"/>
      <c r="E834" s="39"/>
      <c r="F834" s="39"/>
      <c r="G834" s="39"/>
    </row>
    <row r="835" spans="1:7">
      <c r="A835" s="40"/>
      <c r="B835" s="40"/>
      <c r="C835" s="40"/>
      <c r="D835" s="40"/>
      <c r="E835" s="40"/>
      <c r="F835" s="40"/>
      <c r="G835" s="40"/>
    </row>
    <row r="836" spans="1:7">
      <c r="A836" s="39"/>
      <c r="B836" s="39"/>
      <c r="C836" s="39"/>
      <c r="D836" s="39"/>
      <c r="E836" s="39"/>
      <c r="F836" s="39"/>
      <c r="G836" s="39"/>
    </row>
    <row r="837" spans="1:7">
      <c r="A837" s="40"/>
      <c r="B837" s="40"/>
      <c r="C837" s="40"/>
      <c r="D837" s="40"/>
      <c r="E837" s="40"/>
      <c r="F837" s="40"/>
      <c r="G837" s="40"/>
    </row>
    <row r="838" spans="1:7">
      <c r="A838" s="39"/>
      <c r="B838" s="39"/>
      <c r="C838" s="39"/>
      <c r="D838" s="39"/>
      <c r="E838" s="39"/>
      <c r="F838" s="39"/>
      <c r="G838" s="39"/>
    </row>
    <row r="839" spans="1:7">
      <c r="A839" s="40"/>
      <c r="B839" s="40"/>
      <c r="C839" s="40"/>
      <c r="D839" s="40"/>
      <c r="E839" s="40"/>
      <c r="F839" s="40"/>
      <c r="G839" s="40"/>
    </row>
    <row r="840" spans="1:7">
      <c r="A840" s="39"/>
      <c r="B840" s="39"/>
      <c r="C840" s="39"/>
      <c r="D840" s="39"/>
      <c r="E840" s="39"/>
      <c r="F840" s="39"/>
      <c r="G840" s="39"/>
    </row>
    <row r="841" spans="1:7">
      <c r="A841" s="40"/>
      <c r="B841" s="40"/>
      <c r="C841" s="40"/>
      <c r="D841" s="40"/>
      <c r="E841" s="40"/>
      <c r="F841" s="40"/>
      <c r="G841" s="40"/>
    </row>
    <row r="842" spans="1:7">
      <c r="A842" s="39"/>
      <c r="B842" s="39"/>
      <c r="C842" s="39"/>
      <c r="D842" s="39"/>
      <c r="E842" s="39"/>
      <c r="F842" s="39"/>
      <c r="G842" s="39"/>
    </row>
    <row r="843" spans="1:7">
      <c r="A843" s="40"/>
      <c r="B843" s="40"/>
      <c r="C843" s="40"/>
      <c r="D843" s="40"/>
      <c r="E843" s="40"/>
      <c r="F843" s="40"/>
      <c r="G843" s="40"/>
    </row>
    <row r="844" spans="1:7">
      <c r="A844" s="39"/>
      <c r="B844" s="39"/>
      <c r="C844" s="39"/>
      <c r="D844" s="39"/>
      <c r="E844" s="39"/>
      <c r="F844" s="39"/>
      <c r="G844" s="39"/>
    </row>
    <row r="845" spans="1:7">
      <c r="A845" s="40"/>
      <c r="B845" s="40"/>
      <c r="C845" s="40"/>
      <c r="D845" s="40"/>
      <c r="E845" s="40"/>
      <c r="F845" s="40"/>
      <c r="G845" s="40"/>
    </row>
    <row r="846" spans="1:7">
      <c r="A846" s="39"/>
      <c r="B846" s="39"/>
      <c r="C846" s="39"/>
      <c r="D846" s="39"/>
      <c r="E846" s="39"/>
      <c r="F846" s="39"/>
      <c r="G846" s="39"/>
    </row>
    <row r="847" spans="1:7">
      <c r="A847" s="40"/>
      <c r="B847" s="40"/>
      <c r="C847" s="40"/>
      <c r="D847" s="40"/>
      <c r="E847" s="40"/>
      <c r="F847" s="40"/>
      <c r="G847" s="40"/>
    </row>
    <row r="848" spans="1:7">
      <c r="A848" s="39"/>
      <c r="B848" s="39"/>
      <c r="C848" s="39"/>
      <c r="D848" s="39"/>
      <c r="E848" s="39"/>
      <c r="F848" s="39"/>
      <c r="G848" s="39"/>
    </row>
    <row r="849" spans="1:7">
      <c r="A849" s="40"/>
      <c r="B849" s="40"/>
      <c r="C849" s="40"/>
      <c r="D849" s="40"/>
      <c r="E849" s="40"/>
      <c r="F849" s="40"/>
      <c r="G849" s="40"/>
    </row>
    <row r="850" spans="1:7">
      <c r="A850" s="39"/>
      <c r="B850" s="39"/>
      <c r="C850" s="39"/>
      <c r="D850" s="39"/>
      <c r="E850" s="39"/>
      <c r="F850" s="39"/>
      <c r="G850" s="39"/>
    </row>
    <row r="851" spans="1:7">
      <c r="A851" s="40"/>
      <c r="B851" s="40"/>
      <c r="C851" s="40"/>
      <c r="D851" s="40"/>
      <c r="E851" s="40"/>
      <c r="F851" s="40"/>
      <c r="G851" s="40"/>
    </row>
    <row r="852" spans="1:7">
      <c r="A852" s="39"/>
      <c r="B852" s="39"/>
      <c r="C852" s="39"/>
      <c r="D852" s="39"/>
      <c r="E852" s="39"/>
      <c r="F852" s="39"/>
      <c r="G852" s="39"/>
    </row>
    <row r="853" spans="1:7">
      <c r="A853" s="40"/>
      <c r="B853" s="40"/>
      <c r="C853" s="40"/>
      <c r="D853" s="40"/>
      <c r="E853" s="40"/>
      <c r="F853" s="40"/>
      <c r="G853" s="40"/>
    </row>
    <row r="854" spans="1:7">
      <c r="A854" s="39"/>
      <c r="B854" s="39"/>
      <c r="C854" s="39"/>
      <c r="D854" s="39"/>
      <c r="E854" s="39"/>
      <c r="F854" s="39"/>
      <c r="G854" s="39"/>
    </row>
    <row r="855" spans="1:7">
      <c r="A855" s="40"/>
      <c r="B855" s="40"/>
      <c r="C855" s="40"/>
      <c r="D855" s="40"/>
      <c r="E855" s="40"/>
      <c r="F855" s="40"/>
      <c r="G855" s="40"/>
    </row>
    <row r="856" spans="1:7">
      <c r="A856" s="39"/>
      <c r="B856" s="39"/>
      <c r="C856" s="39"/>
      <c r="D856" s="39"/>
      <c r="E856" s="39"/>
      <c r="F856" s="39"/>
      <c r="G856" s="39"/>
    </row>
    <row r="857" spans="1:7">
      <c r="A857" s="40"/>
      <c r="B857" s="40"/>
      <c r="C857" s="40"/>
      <c r="D857" s="40"/>
      <c r="E857" s="40"/>
      <c r="F857" s="40"/>
      <c r="G857" s="40"/>
    </row>
    <row r="858" spans="1:7">
      <c r="A858" s="39"/>
      <c r="B858" s="39"/>
      <c r="C858" s="39"/>
      <c r="D858" s="39"/>
      <c r="E858" s="39"/>
      <c r="F858" s="39"/>
      <c r="G858" s="39"/>
    </row>
    <row r="859" spans="1:7">
      <c r="A859" s="40"/>
      <c r="B859" s="40"/>
      <c r="C859" s="40"/>
      <c r="D859" s="40"/>
      <c r="E859" s="40"/>
      <c r="F859" s="40"/>
      <c r="G859" s="40"/>
    </row>
    <row r="860" spans="1:7">
      <c r="A860" s="39"/>
      <c r="B860" s="39"/>
      <c r="C860" s="39"/>
      <c r="D860" s="39"/>
      <c r="E860" s="39"/>
      <c r="F860" s="39"/>
      <c r="G860" s="39"/>
    </row>
    <row r="861" spans="1:7">
      <c r="A861" s="40"/>
      <c r="B861" s="40"/>
      <c r="C861" s="40"/>
      <c r="D861" s="40"/>
      <c r="E861" s="40"/>
      <c r="F861" s="40"/>
      <c r="G861" s="40"/>
    </row>
    <row r="862" spans="1:7">
      <c r="A862" s="39"/>
      <c r="B862" s="39"/>
      <c r="C862" s="39"/>
      <c r="D862" s="39"/>
      <c r="E862" s="39"/>
      <c r="F862" s="39"/>
      <c r="G862" s="39"/>
    </row>
    <row r="863" spans="1:7">
      <c r="A863" s="40"/>
      <c r="B863" s="40"/>
      <c r="C863" s="40"/>
      <c r="D863" s="40"/>
      <c r="E863" s="40"/>
      <c r="F863" s="40"/>
      <c r="G863" s="40"/>
    </row>
    <row r="864" spans="1:7">
      <c r="A864" s="39"/>
      <c r="B864" s="39"/>
      <c r="C864" s="39"/>
      <c r="D864" s="39"/>
      <c r="E864" s="39"/>
      <c r="F864" s="39"/>
      <c r="G864" s="39"/>
    </row>
    <row r="865" spans="1:7">
      <c r="A865" s="40"/>
      <c r="B865" s="40"/>
      <c r="C865" s="40"/>
      <c r="D865" s="40"/>
      <c r="E865" s="40"/>
      <c r="F865" s="40"/>
      <c r="G865" s="40"/>
    </row>
    <row r="866" spans="1:7">
      <c r="A866" s="39"/>
      <c r="B866" s="39"/>
      <c r="C866" s="39"/>
      <c r="D866" s="39"/>
      <c r="E866" s="39"/>
      <c r="F866" s="39"/>
      <c r="G866" s="39"/>
    </row>
    <row r="867" spans="1:7">
      <c r="A867" s="40"/>
      <c r="B867" s="40"/>
      <c r="C867" s="40"/>
      <c r="D867" s="40"/>
      <c r="E867" s="40"/>
      <c r="F867" s="40"/>
      <c r="G867" s="40"/>
    </row>
    <row r="868" spans="1:7">
      <c r="A868" s="39"/>
      <c r="B868" s="39"/>
      <c r="C868" s="39"/>
      <c r="D868" s="39"/>
      <c r="E868" s="39"/>
      <c r="F868" s="39"/>
      <c r="G868" s="39"/>
    </row>
    <row r="869" spans="1:7">
      <c r="A869" s="40"/>
      <c r="B869" s="40"/>
      <c r="C869" s="40"/>
      <c r="D869" s="40"/>
      <c r="E869" s="40"/>
      <c r="F869" s="40"/>
      <c r="G869" s="40"/>
    </row>
    <row r="870" spans="1:7">
      <c r="A870" s="39"/>
      <c r="B870" s="39"/>
      <c r="C870" s="39"/>
      <c r="D870" s="39"/>
      <c r="E870" s="39"/>
      <c r="F870" s="39"/>
      <c r="G870" s="39"/>
    </row>
    <row r="871" spans="1:7">
      <c r="A871" s="40"/>
      <c r="B871" s="40"/>
      <c r="C871" s="40"/>
      <c r="D871" s="40"/>
      <c r="E871" s="40"/>
      <c r="F871" s="40"/>
      <c r="G871" s="40"/>
    </row>
    <row r="872" spans="1:7">
      <c r="A872" s="39"/>
      <c r="B872" s="39"/>
      <c r="C872" s="39"/>
      <c r="D872" s="39"/>
      <c r="E872" s="39"/>
      <c r="F872" s="39"/>
      <c r="G872" s="39"/>
    </row>
    <row r="873" spans="1:7">
      <c r="A873" s="40"/>
      <c r="B873" s="40"/>
      <c r="C873" s="40"/>
      <c r="D873" s="40"/>
      <c r="E873" s="40"/>
      <c r="F873" s="40"/>
      <c r="G873" s="40"/>
    </row>
    <row r="874" spans="1:7">
      <c r="A874" s="39"/>
      <c r="B874" s="39"/>
      <c r="C874" s="39"/>
      <c r="D874" s="39"/>
      <c r="E874" s="39"/>
      <c r="F874" s="39"/>
      <c r="G874" s="39"/>
    </row>
    <row r="875" spans="1:7">
      <c r="A875" s="40"/>
      <c r="B875" s="40"/>
      <c r="C875" s="40"/>
      <c r="D875" s="40"/>
      <c r="E875" s="40"/>
      <c r="F875" s="40"/>
      <c r="G875" s="40"/>
    </row>
    <row r="876" spans="1:7">
      <c r="A876" s="39"/>
      <c r="B876" s="39"/>
      <c r="C876" s="39"/>
      <c r="D876" s="39"/>
      <c r="E876" s="39"/>
      <c r="F876" s="39"/>
      <c r="G876" s="39"/>
    </row>
    <row r="877" spans="1:7">
      <c r="A877" s="40"/>
      <c r="B877" s="40"/>
      <c r="C877" s="40"/>
      <c r="D877" s="40"/>
      <c r="E877" s="40"/>
      <c r="F877" s="40"/>
      <c r="G877" s="40"/>
    </row>
    <row r="878" spans="1:7">
      <c r="A878" s="39"/>
      <c r="B878" s="39"/>
      <c r="C878" s="39"/>
      <c r="D878" s="39"/>
      <c r="E878" s="39"/>
      <c r="F878" s="39"/>
      <c r="G878" s="39"/>
    </row>
    <row r="879" spans="1:7">
      <c r="A879" s="40"/>
      <c r="B879" s="40"/>
      <c r="C879" s="40"/>
      <c r="D879" s="40"/>
      <c r="E879" s="40"/>
      <c r="F879" s="40"/>
      <c r="G879" s="40"/>
    </row>
    <row r="880" spans="1:7">
      <c r="A880" s="39"/>
      <c r="B880" s="39"/>
      <c r="C880" s="39"/>
      <c r="D880" s="39"/>
      <c r="E880" s="39"/>
      <c r="F880" s="39"/>
      <c r="G880" s="39"/>
    </row>
    <row r="881" spans="1:7">
      <c r="A881" s="40"/>
      <c r="B881" s="40"/>
      <c r="C881" s="40"/>
      <c r="D881" s="40"/>
      <c r="E881" s="40"/>
      <c r="F881" s="40"/>
      <c r="G881" s="40"/>
    </row>
    <row r="882" spans="1:7">
      <c r="A882" s="39"/>
      <c r="B882" s="39"/>
      <c r="C882" s="39"/>
      <c r="D882" s="39"/>
      <c r="E882" s="39"/>
      <c r="F882" s="39"/>
      <c r="G882" s="39"/>
    </row>
    <row r="883" spans="1:7">
      <c r="A883" s="40"/>
      <c r="B883" s="40"/>
      <c r="C883" s="40"/>
      <c r="D883" s="40"/>
      <c r="E883" s="40"/>
      <c r="F883" s="40"/>
      <c r="G883" s="40"/>
    </row>
    <row r="884" spans="1:7">
      <c r="A884" s="39"/>
      <c r="B884" s="39"/>
      <c r="C884" s="39"/>
      <c r="D884" s="39"/>
      <c r="E884" s="39"/>
      <c r="F884" s="39"/>
      <c r="G884" s="39"/>
    </row>
    <row r="885" spans="1:7">
      <c r="A885" s="40"/>
      <c r="B885" s="40"/>
      <c r="C885" s="40"/>
      <c r="D885" s="40"/>
      <c r="E885" s="40"/>
      <c r="F885" s="40"/>
      <c r="G885" s="40"/>
    </row>
    <row r="886" spans="1:7">
      <c r="A886" s="39"/>
      <c r="B886" s="39"/>
      <c r="C886" s="39"/>
      <c r="D886" s="39"/>
      <c r="E886" s="39"/>
      <c r="F886" s="39"/>
      <c r="G886" s="39"/>
    </row>
    <row r="887" spans="1:7">
      <c r="A887" s="40"/>
      <c r="B887" s="40"/>
      <c r="C887" s="40"/>
      <c r="D887" s="40"/>
      <c r="E887" s="40"/>
      <c r="F887" s="40"/>
      <c r="G887" s="40"/>
    </row>
    <row r="888" spans="1:7">
      <c r="A888" s="39"/>
      <c r="B888" s="39"/>
      <c r="C888" s="39"/>
      <c r="D888" s="39"/>
      <c r="E888" s="39"/>
      <c r="F888" s="39"/>
      <c r="G888" s="39"/>
    </row>
    <row r="889" spans="1:7">
      <c r="A889" s="40"/>
      <c r="B889" s="40"/>
      <c r="C889" s="40"/>
      <c r="D889" s="40"/>
      <c r="E889" s="40"/>
      <c r="F889" s="40"/>
      <c r="G889" s="40"/>
    </row>
    <row r="890" spans="1:7">
      <c r="A890" s="39"/>
      <c r="B890" s="39"/>
      <c r="C890" s="39"/>
      <c r="D890" s="39"/>
      <c r="E890" s="39"/>
      <c r="F890" s="39"/>
      <c r="G890" s="39"/>
    </row>
    <row r="891" spans="1:7">
      <c r="A891" s="40"/>
      <c r="B891" s="40"/>
      <c r="C891" s="40"/>
      <c r="D891" s="40"/>
      <c r="E891" s="40"/>
      <c r="F891" s="40"/>
      <c r="G891" s="40"/>
    </row>
    <row r="892" spans="1:7">
      <c r="A892" s="39"/>
      <c r="B892" s="39"/>
      <c r="C892" s="39"/>
      <c r="D892" s="39"/>
      <c r="E892" s="39"/>
      <c r="F892" s="39"/>
      <c r="G892" s="39"/>
    </row>
    <row r="893" spans="1:7">
      <c r="A893" s="40"/>
      <c r="B893" s="40"/>
      <c r="C893" s="40"/>
      <c r="D893" s="40"/>
      <c r="E893" s="40"/>
      <c r="F893" s="40"/>
      <c r="G893" s="40"/>
    </row>
    <row r="894" spans="1:7">
      <c r="A894" s="39"/>
      <c r="B894" s="39"/>
      <c r="C894" s="39"/>
      <c r="D894" s="39"/>
      <c r="E894" s="39"/>
      <c r="F894" s="39"/>
      <c r="G894" s="39"/>
    </row>
    <row r="895" spans="1:7">
      <c r="A895" s="40"/>
      <c r="B895" s="40"/>
      <c r="C895" s="40"/>
      <c r="D895" s="40"/>
      <c r="E895" s="40"/>
      <c r="F895" s="40"/>
      <c r="G895" s="40"/>
    </row>
    <row r="896" spans="1:7">
      <c r="A896" s="39"/>
      <c r="B896" s="39"/>
      <c r="C896" s="39"/>
      <c r="D896" s="39"/>
      <c r="E896" s="39"/>
      <c r="F896" s="39"/>
      <c r="G896" s="39"/>
    </row>
    <row r="897" spans="1:7">
      <c r="A897" s="40"/>
      <c r="B897" s="40"/>
      <c r="C897" s="40"/>
      <c r="D897" s="40"/>
      <c r="E897" s="40"/>
      <c r="F897" s="40"/>
      <c r="G897" s="40"/>
    </row>
    <row r="898" spans="1:7">
      <c r="A898" s="39"/>
      <c r="B898" s="39"/>
      <c r="C898" s="39"/>
      <c r="D898" s="39"/>
      <c r="E898" s="39"/>
      <c r="F898" s="39"/>
      <c r="G898" s="39"/>
    </row>
    <row r="899" spans="1:7">
      <c r="A899" s="40"/>
      <c r="B899" s="40"/>
      <c r="C899" s="40"/>
      <c r="D899" s="40"/>
      <c r="E899" s="40"/>
      <c r="F899" s="40"/>
      <c r="G899" s="40"/>
    </row>
    <row r="900" spans="1:7">
      <c r="A900" s="39"/>
      <c r="B900" s="39"/>
      <c r="C900" s="39"/>
      <c r="D900" s="39"/>
      <c r="E900" s="39"/>
      <c r="F900" s="39"/>
      <c r="G900" s="39"/>
    </row>
    <row r="901" spans="1:7">
      <c r="A901" s="40"/>
      <c r="B901" s="40"/>
      <c r="C901" s="40"/>
      <c r="D901" s="40"/>
      <c r="E901" s="40"/>
      <c r="F901" s="40"/>
      <c r="G901" s="40"/>
    </row>
    <row r="902" spans="1:7">
      <c r="A902" s="39"/>
      <c r="B902" s="39"/>
      <c r="C902" s="39"/>
      <c r="D902" s="39"/>
      <c r="E902" s="39"/>
      <c r="F902" s="39"/>
      <c r="G902" s="39"/>
    </row>
    <row r="903" spans="1:7">
      <c r="A903" s="40"/>
      <c r="B903" s="40"/>
      <c r="C903" s="40"/>
      <c r="D903" s="40"/>
      <c r="E903" s="40"/>
      <c r="F903" s="40"/>
      <c r="G903" s="40"/>
    </row>
    <row r="904" spans="1:7">
      <c r="A904" s="39"/>
      <c r="B904" s="39"/>
      <c r="C904" s="39"/>
      <c r="D904" s="39"/>
      <c r="E904" s="39"/>
      <c r="F904" s="39"/>
      <c r="G904" s="39"/>
    </row>
    <row r="905" spans="1:7">
      <c r="A905" s="40"/>
      <c r="B905" s="40"/>
      <c r="C905" s="40"/>
      <c r="D905" s="40"/>
      <c r="E905" s="40"/>
      <c r="F905" s="40"/>
      <c r="G905" s="40"/>
    </row>
    <row r="906" spans="1:7">
      <c r="A906" s="39"/>
      <c r="B906" s="39"/>
      <c r="C906" s="39"/>
      <c r="D906" s="39"/>
      <c r="E906" s="39"/>
      <c r="F906" s="39"/>
      <c r="G906" s="39"/>
    </row>
    <row r="907" spans="1:7">
      <c r="A907" s="40"/>
      <c r="B907" s="40"/>
      <c r="C907" s="40"/>
      <c r="D907" s="40"/>
      <c r="E907" s="40"/>
      <c r="F907" s="40"/>
      <c r="G907" s="40"/>
    </row>
    <row r="908" spans="1:7">
      <c r="A908" s="39"/>
      <c r="B908" s="39"/>
      <c r="C908" s="39"/>
      <c r="D908" s="39"/>
      <c r="E908" s="39"/>
      <c r="F908" s="39"/>
      <c r="G908" s="39"/>
    </row>
    <row r="909" spans="1:7">
      <c r="A909" s="40"/>
      <c r="B909" s="40"/>
      <c r="C909" s="40"/>
      <c r="D909" s="40"/>
      <c r="E909" s="40"/>
      <c r="F909" s="40"/>
      <c r="G909" s="40"/>
    </row>
    <row r="910" spans="1:7">
      <c r="A910" s="39"/>
      <c r="B910" s="39"/>
      <c r="C910" s="39"/>
      <c r="D910" s="39"/>
      <c r="E910" s="39"/>
      <c r="F910" s="39"/>
      <c r="G910" s="39"/>
    </row>
    <row r="911" spans="1:7">
      <c r="A911" s="40"/>
      <c r="B911" s="40"/>
      <c r="C911" s="40"/>
      <c r="D911" s="40"/>
      <c r="E911" s="40"/>
      <c r="F911" s="40"/>
      <c r="G911" s="40"/>
    </row>
    <row r="912" spans="1:7">
      <c r="A912" s="39"/>
      <c r="B912" s="39"/>
      <c r="C912" s="39"/>
      <c r="D912" s="39"/>
      <c r="E912" s="39"/>
      <c r="F912" s="39"/>
      <c r="G912" s="39"/>
    </row>
    <row r="913" spans="1:7">
      <c r="A913" s="40"/>
      <c r="B913" s="40"/>
      <c r="C913" s="40"/>
      <c r="D913" s="40"/>
      <c r="E913" s="40"/>
      <c r="F913" s="40"/>
      <c r="G913" s="40"/>
    </row>
    <row r="914" spans="1:7">
      <c r="A914" s="39"/>
      <c r="B914" s="39"/>
      <c r="C914" s="39"/>
      <c r="D914" s="39"/>
      <c r="E914" s="39"/>
      <c r="F914" s="39"/>
      <c r="G914" s="39"/>
    </row>
    <row r="915" spans="1:7">
      <c r="A915" s="40"/>
      <c r="B915" s="40"/>
      <c r="C915" s="40"/>
      <c r="D915" s="40"/>
      <c r="E915" s="40"/>
      <c r="F915" s="40"/>
      <c r="G915" s="40"/>
    </row>
    <row r="916" spans="1:7">
      <c r="A916" s="39"/>
      <c r="B916" s="39"/>
      <c r="C916" s="39"/>
      <c r="D916" s="39"/>
      <c r="E916" s="39"/>
      <c r="F916" s="39"/>
      <c r="G916" s="39"/>
    </row>
    <row r="917" spans="1:7">
      <c r="A917" s="40"/>
      <c r="B917" s="40"/>
      <c r="C917" s="40"/>
      <c r="D917" s="40"/>
      <c r="E917" s="40"/>
      <c r="F917" s="40"/>
      <c r="G917" s="40"/>
    </row>
    <row r="918" spans="1:7">
      <c r="A918" s="39"/>
      <c r="B918" s="39"/>
      <c r="C918" s="39"/>
      <c r="D918" s="39"/>
      <c r="E918" s="39"/>
      <c r="F918" s="39"/>
      <c r="G918" s="39"/>
    </row>
    <row r="919" spans="1:7">
      <c r="A919" s="40"/>
      <c r="B919" s="40"/>
      <c r="C919" s="40"/>
      <c r="D919" s="40"/>
      <c r="E919" s="40"/>
      <c r="F919" s="40"/>
      <c r="G919" s="40"/>
    </row>
    <row r="920" spans="1:7">
      <c r="A920" s="39"/>
      <c r="B920" s="39"/>
      <c r="C920" s="39"/>
      <c r="D920" s="39"/>
      <c r="E920" s="39"/>
      <c r="F920" s="39"/>
      <c r="G920" s="39"/>
    </row>
    <row r="921" spans="1:7">
      <c r="A921" s="40"/>
      <c r="B921" s="40"/>
      <c r="C921" s="40"/>
      <c r="D921" s="40"/>
      <c r="E921" s="40"/>
      <c r="F921" s="40"/>
      <c r="G921" s="40"/>
    </row>
    <row r="922" spans="1:7">
      <c r="A922" s="39"/>
      <c r="B922" s="39"/>
      <c r="C922" s="39"/>
      <c r="D922" s="39"/>
      <c r="E922" s="39"/>
      <c r="F922" s="39"/>
      <c r="G922" s="39"/>
    </row>
    <row r="923" spans="1:7">
      <c r="A923" s="40"/>
      <c r="B923" s="40"/>
      <c r="C923" s="40"/>
      <c r="D923" s="40"/>
      <c r="E923" s="40"/>
      <c r="F923" s="40"/>
      <c r="G923" s="40"/>
    </row>
    <row r="924" spans="1:7">
      <c r="A924" s="39"/>
      <c r="B924" s="39"/>
      <c r="C924" s="39"/>
      <c r="D924" s="39"/>
      <c r="E924" s="39"/>
      <c r="F924" s="39"/>
      <c r="G924" s="39"/>
    </row>
    <row r="925" spans="1:7">
      <c r="A925" s="40"/>
      <c r="B925" s="40"/>
      <c r="C925" s="40"/>
      <c r="D925" s="40"/>
      <c r="E925" s="40"/>
      <c r="F925" s="40"/>
      <c r="G925" s="40"/>
    </row>
    <row r="926" spans="1:7">
      <c r="A926" s="39"/>
      <c r="B926" s="39"/>
      <c r="C926" s="39"/>
      <c r="D926" s="39"/>
      <c r="E926" s="39"/>
      <c r="F926" s="39"/>
      <c r="G926" s="39"/>
    </row>
    <row r="927" spans="1:7">
      <c r="A927" s="40"/>
      <c r="B927" s="40"/>
      <c r="C927" s="40"/>
      <c r="D927" s="40"/>
      <c r="E927" s="40"/>
      <c r="F927" s="40"/>
      <c r="G927" s="40"/>
    </row>
    <row r="928" spans="1:7">
      <c r="A928" s="39"/>
      <c r="B928" s="39"/>
      <c r="C928" s="39"/>
      <c r="D928" s="39"/>
      <c r="E928" s="39"/>
      <c r="F928" s="39"/>
      <c r="G928" s="39"/>
    </row>
    <row r="929" spans="1:7">
      <c r="A929" s="40"/>
      <c r="B929" s="40"/>
      <c r="C929" s="40"/>
      <c r="D929" s="40"/>
      <c r="E929" s="40"/>
      <c r="F929" s="40"/>
      <c r="G929" s="40"/>
    </row>
    <row r="930" spans="1:7">
      <c r="A930" s="39"/>
      <c r="B930" s="39"/>
      <c r="C930" s="39"/>
      <c r="D930" s="39"/>
      <c r="E930" s="39"/>
      <c r="F930" s="39"/>
      <c r="G930" s="39"/>
    </row>
    <row r="931" spans="1:7">
      <c r="A931" s="40"/>
      <c r="B931" s="40"/>
      <c r="C931" s="40"/>
      <c r="D931" s="40"/>
      <c r="E931" s="40"/>
      <c r="F931" s="40"/>
      <c r="G931" s="40"/>
    </row>
    <row r="932" spans="1:7">
      <c r="A932" s="39"/>
      <c r="B932" s="39"/>
      <c r="C932" s="39"/>
      <c r="D932" s="39"/>
      <c r="E932" s="39"/>
      <c r="F932" s="39"/>
      <c r="G932" s="39"/>
    </row>
    <row r="933" spans="1:7">
      <c r="A933" s="40"/>
      <c r="B933" s="40"/>
      <c r="C933" s="40"/>
      <c r="D933" s="40"/>
      <c r="E933" s="40"/>
      <c r="F933" s="40"/>
      <c r="G933" s="40"/>
    </row>
    <row r="934" spans="1:7">
      <c r="A934" s="39"/>
      <c r="B934" s="39"/>
      <c r="C934" s="39"/>
      <c r="D934" s="39"/>
      <c r="E934" s="39"/>
      <c r="F934" s="39"/>
      <c r="G934" s="39"/>
    </row>
    <row r="935" spans="1:7">
      <c r="A935" s="40"/>
      <c r="B935" s="40"/>
      <c r="C935" s="40"/>
      <c r="D935" s="40"/>
      <c r="E935" s="40"/>
      <c r="F935" s="40"/>
      <c r="G935" s="40"/>
    </row>
    <row r="936" spans="1:7">
      <c r="A936" s="39"/>
      <c r="B936" s="39"/>
      <c r="C936" s="39"/>
      <c r="D936" s="39"/>
      <c r="E936" s="39"/>
      <c r="F936" s="39"/>
      <c r="G936" s="39"/>
    </row>
    <row r="937" spans="1:7">
      <c r="A937" s="40"/>
      <c r="B937" s="40"/>
      <c r="C937" s="40"/>
      <c r="D937" s="40"/>
      <c r="E937" s="40"/>
      <c r="F937" s="40"/>
      <c r="G937" s="40"/>
    </row>
    <row r="938" spans="1:7">
      <c r="A938" s="39"/>
      <c r="B938" s="39"/>
      <c r="C938" s="39"/>
      <c r="D938" s="39"/>
      <c r="E938" s="39"/>
      <c r="F938" s="39"/>
      <c r="G938" s="39"/>
    </row>
    <row r="939" spans="1:7">
      <c r="A939" s="40"/>
      <c r="B939" s="40"/>
      <c r="C939" s="40"/>
      <c r="D939" s="40"/>
      <c r="E939" s="40"/>
      <c r="F939" s="40"/>
      <c r="G939" s="40"/>
    </row>
    <row r="940" spans="1:7">
      <c r="A940" s="39"/>
      <c r="B940" s="39"/>
      <c r="C940" s="39"/>
      <c r="D940" s="39"/>
      <c r="E940" s="39"/>
      <c r="F940" s="39"/>
      <c r="G940" s="39"/>
    </row>
    <row r="941" spans="1:7">
      <c r="A941" s="40"/>
      <c r="B941" s="40"/>
      <c r="C941" s="40"/>
      <c r="D941" s="40"/>
      <c r="E941" s="40"/>
      <c r="F941" s="40"/>
      <c r="G941" s="40"/>
    </row>
    <row r="942" spans="1:7">
      <c r="A942" s="39"/>
      <c r="B942" s="39"/>
      <c r="C942" s="39"/>
      <c r="D942" s="39"/>
      <c r="E942" s="39"/>
      <c r="F942" s="39"/>
      <c r="G942" s="39"/>
    </row>
    <row r="943" spans="1:7">
      <c r="A943" s="40"/>
      <c r="B943" s="40"/>
      <c r="C943" s="40"/>
      <c r="D943" s="40"/>
      <c r="E943" s="40"/>
      <c r="F943" s="40"/>
      <c r="G943" s="40"/>
    </row>
    <row r="944" spans="1:7">
      <c r="A944" s="39"/>
      <c r="B944" s="39"/>
      <c r="C944" s="39"/>
      <c r="D944" s="39"/>
      <c r="E944" s="39"/>
      <c r="F944" s="39"/>
      <c r="G944" s="39"/>
    </row>
    <row r="945" spans="1:7">
      <c r="A945" s="40"/>
      <c r="B945" s="40"/>
      <c r="C945" s="40"/>
      <c r="D945" s="40"/>
      <c r="E945" s="40"/>
      <c r="F945" s="40"/>
      <c r="G945" s="40"/>
    </row>
    <row r="946" spans="1:7">
      <c r="A946" s="39"/>
      <c r="B946" s="39"/>
      <c r="C946" s="39"/>
      <c r="D946" s="39"/>
      <c r="E946" s="39"/>
      <c r="F946" s="39"/>
      <c r="G946" s="39"/>
    </row>
    <row r="947" spans="1:7">
      <c r="A947" s="40"/>
      <c r="B947" s="40"/>
      <c r="C947" s="40"/>
      <c r="D947" s="40"/>
      <c r="E947" s="40"/>
      <c r="F947" s="40"/>
      <c r="G947" s="40"/>
    </row>
    <row r="948" spans="1:7">
      <c r="A948" s="39"/>
      <c r="B948" s="39"/>
      <c r="C948" s="39"/>
      <c r="D948" s="39"/>
      <c r="E948" s="39"/>
      <c r="F948" s="39"/>
      <c r="G948" s="39"/>
    </row>
    <row r="949" spans="1:7">
      <c r="A949" s="40"/>
      <c r="B949" s="40"/>
      <c r="C949" s="40"/>
      <c r="D949" s="40"/>
      <c r="E949" s="40"/>
      <c r="F949" s="40"/>
      <c r="G949" s="40"/>
    </row>
    <row r="950" spans="1:7">
      <c r="A950" s="39"/>
      <c r="B950" s="39"/>
      <c r="C950" s="39"/>
      <c r="D950" s="39"/>
      <c r="E950" s="39"/>
      <c r="F950" s="39"/>
      <c r="G950" s="39"/>
    </row>
    <row r="951" spans="1:7">
      <c r="A951" s="40"/>
      <c r="B951" s="40"/>
      <c r="C951" s="40"/>
      <c r="D951" s="40"/>
      <c r="E951" s="40"/>
      <c r="F951" s="40"/>
      <c r="G951" s="40"/>
    </row>
    <row r="952" spans="1:7">
      <c r="A952" s="39"/>
      <c r="B952" s="39"/>
      <c r="C952" s="39"/>
      <c r="D952" s="39"/>
      <c r="E952" s="39"/>
      <c r="F952" s="39"/>
      <c r="G952" s="39"/>
    </row>
    <row r="953" spans="1:7">
      <c r="A953" s="40"/>
      <c r="B953" s="40"/>
      <c r="C953" s="40"/>
      <c r="D953" s="40"/>
      <c r="E953" s="40"/>
      <c r="F953" s="40"/>
      <c r="G953" s="40"/>
    </row>
    <row r="954" spans="1:7">
      <c r="A954" s="39"/>
      <c r="B954" s="39"/>
      <c r="C954" s="39"/>
      <c r="D954" s="39"/>
      <c r="E954" s="39"/>
      <c r="F954" s="39"/>
      <c r="G954" s="39"/>
    </row>
    <row r="955" spans="1:7">
      <c r="A955" s="40"/>
      <c r="B955" s="40"/>
      <c r="C955" s="40"/>
      <c r="D955" s="40"/>
      <c r="E955" s="40"/>
      <c r="F955" s="40"/>
      <c r="G955" s="40"/>
    </row>
    <row r="956" spans="1:7">
      <c r="A956" s="39"/>
      <c r="B956" s="39"/>
      <c r="C956" s="39"/>
      <c r="D956" s="39"/>
      <c r="E956" s="39"/>
      <c r="F956" s="39"/>
      <c r="G956" s="39"/>
    </row>
    <row r="957" spans="1:7">
      <c r="A957" s="40"/>
      <c r="B957" s="40"/>
      <c r="C957" s="40"/>
      <c r="D957" s="40"/>
      <c r="E957" s="40"/>
      <c r="F957" s="40"/>
      <c r="G957" s="40"/>
    </row>
    <row r="958" spans="1:7">
      <c r="A958" s="39"/>
      <c r="B958" s="39"/>
      <c r="C958" s="39"/>
      <c r="D958" s="39"/>
      <c r="E958" s="39"/>
      <c r="F958" s="39"/>
      <c r="G958" s="39"/>
    </row>
    <row r="959" spans="1:7">
      <c r="A959" s="40"/>
      <c r="B959" s="40"/>
      <c r="C959" s="40"/>
      <c r="D959" s="40"/>
      <c r="E959" s="40"/>
      <c r="F959" s="40"/>
      <c r="G959" s="40"/>
    </row>
    <row r="960" spans="1:7">
      <c r="A960" s="39"/>
      <c r="B960" s="39"/>
      <c r="C960" s="39"/>
      <c r="D960" s="39"/>
      <c r="E960" s="39"/>
      <c r="F960" s="39"/>
      <c r="G960" s="39"/>
    </row>
    <row r="961" spans="1:7">
      <c r="A961" s="40"/>
      <c r="B961" s="40"/>
      <c r="C961" s="40"/>
      <c r="D961" s="40"/>
      <c r="E961" s="40"/>
      <c r="F961" s="40"/>
      <c r="G961" s="40"/>
    </row>
    <row r="962" spans="1:7">
      <c r="A962" s="39"/>
      <c r="B962" s="39"/>
      <c r="C962" s="39"/>
      <c r="D962" s="39"/>
      <c r="E962" s="39"/>
      <c r="F962" s="39"/>
      <c r="G962" s="39"/>
    </row>
    <row r="963" spans="1:7">
      <c r="A963" s="40"/>
      <c r="B963" s="40"/>
      <c r="C963" s="40"/>
      <c r="D963" s="40"/>
      <c r="E963" s="40"/>
      <c r="F963" s="40"/>
      <c r="G963" s="40"/>
    </row>
    <row r="964" spans="1:7">
      <c r="A964" s="39"/>
      <c r="B964" s="39"/>
      <c r="C964" s="39"/>
      <c r="D964" s="39"/>
      <c r="E964" s="39"/>
      <c r="F964" s="39"/>
      <c r="G964" s="39"/>
    </row>
    <row r="965" spans="1:7">
      <c r="A965" s="40"/>
      <c r="B965" s="40"/>
      <c r="C965" s="40"/>
      <c r="D965" s="40"/>
      <c r="E965" s="40"/>
      <c r="F965" s="40"/>
      <c r="G965" s="40"/>
    </row>
    <row r="966" spans="1:7">
      <c r="A966" s="39"/>
      <c r="B966" s="39"/>
      <c r="C966" s="39"/>
      <c r="D966" s="39"/>
      <c r="E966" s="39"/>
      <c r="F966" s="39"/>
      <c r="G966" s="39"/>
    </row>
    <row r="967" spans="1:7">
      <c r="A967" s="40"/>
      <c r="B967" s="40"/>
      <c r="C967" s="40"/>
      <c r="D967" s="40"/>
      <c r="E967" s="40"/>
      <c r="F967" s="40"/>
      <c r="G967" s="40"/>
    </row>
    <row r="968" spans="1:7">
      <c r="A968" s="39"/>
      <c r="B968" s="39"/>
      <c r="C968" s="39"/>
      <c r="D968" s="39"/>
      <c r="E968" s="39"/>
      <c r="F968" s="39"/>
      <c r="G968" s="39"/>
    </row>
    <row r="969" spans="1:7">
      <c r="A969" s="40"/>
      <c r="B969" s="40"/>
      <c r="C969" s="40"/>
      <c r="D969" s="40"/>
      <c r="E969" s="40"/>
      <c r="F969" s="40"/>
      <c r="G969" s="40"/>
    </row>
    <row r="970" spans="1:7">
      <c r="A970" s="39"/>
      <c r="B970" s="39"/>
      <c r="C970" s="39"/>
      <c r="D970" s="39"/>
      <c r="E970" s="39"/>
      <c r="F970" s="39"/>
      <c r="G970" s="39"/>
    </row>
    <row r="971" spans="1:7">
      <c r="A971" s="40"/>
      <c r="B971" s="40"/>
      <c r="C971" s="40"/>
      <c r="D971" s="40"/>
      <c r="E971" s="40"/>
      <c r="F971" s="40"/>
      <c r="G971" s="40"/>
    </row>
    <row r="972" spans="1:7">
      <c r="A972" s="39"/>
      <c r="B972" s="39"/>
      <c r="C972" s="39"/>
      <c r="D972" s="39"/>
      <c r="E972" s="39"/>
      <c r="F972" s="39"/>
      <c r="G972" s="39"/>
    </row>
    <row r="973" spans="1:7">
      <c r="A973" s="40"/>
      <c r="B973" s="40"/>
      <c r="C973" s="40"/>
      <c r="D973" s="40"/>
      <c r="E973" s="40"/>
      <c r="F973" s="40"/>
      <c r="G973" s="40"/>
    </row>
    <row r="974" spans="1:7">
      <c r="A974" s="39"/>
      <c r="B974" s="39"/>
      <c r="C974" s="39"/>
      <c r="D974" s="39"/>
      <c r="E974" s="39"/>
      <c r="F974" s="39"/>
      <c r="G974" s="39"/>
    </row>
    <row r="975" spans="1:7">
      <c r="A975" s="40"/>
      <c r="B975" s="40"/>
      <c r="C975" s="40"/>
      <c r="D975" s="40"/>
      <c r="E975" s="40"/>
      <c r="F975" s="40"/>
      <c r="G975" s="40"/>
    </row>
    <row r="976" spans="1:7">
      <c r="A976" s="39"/>
      <c r="B976" s="39"/>
      <c r="C976" s="39"/>
      <c r="D976" s="39"/>
      <c r="E976" s="39"/>
      <c r="F976" s="39"/>
      <c r="G976" s="39"/>
    </row>
    <row r="977" spans="1:7">
      <c r="A977" s="40"/>
      <c r="B977" s="40"/>
      <c r="C977" s="40"/>
      <c r="D977" s="40"/>
      <c r="E977" s="40"/>
      <c r="F977" s="40"/>
      <c r="G977" s="40"/>
    </row>
    <row r="978" spans="1:7">
      <c r="A978" s="39"/>
      <c r="B978" s="39"/>
      <c r="C978" s="39"/>
      <c r="D978" s="39"/>
      <c r="E978" s="39"/>
      <c r="F978" s="39"/>
      <c r="G978" s="39"/>
    </row>
    <row r="979" spans="1:7">
      <c r="A979" s="40"/>
      <c r="B979" s="40"/>
      <c r="C979" s="40"/>
      <c r="D979" s="40"/>
      <c r="E979" s="40"/>
      <c r="F979" s="40"/>
      <c r="G979" s="40"/>
    </row>
    <row r="980" spans="1:7">
      <c r="A980" s="39"/>
      <c r="B980" s="39"/>
      <c r="C980" s="39"/>
      <c r="D980" s="39"/>
      <c r="E980" s="39"/>
      <c r="F980" s="39"/>
      <c r="G980" s="39"/>
    </row>
    <row r="981" spans="1:7">
      <c r="A981" s="40"/>
      <c r="B981" s="40"/>
      <c r="C981" s="40"/>
      <c r="D981" s="40"/>
      <c r="E981" s="40"/>
      <c r="F981" s="40"/>
      <c r="G981" s="40"/>
    </row>
    <row r="982" spans="1:7">
      <c r="A982" s="39"/>
      <c r="B982" s="39"/>
      <c r="C982" s="39"/>
      <c r="D982" s="39"/>
      <c r="E982" s="39"/>
      <c r="F982" s="39"/>
      <c r="G982" s="39"/>
    </row>
    <row r="983" spans="1:7">
      <c r="A983" s="40"/>
      <c r="B983" s="40"/>
      <c r="C983" s="40"/>
      <c r="D983" s="40"/>
      <c r="E983" s="40"/>
      <c r="F983" s="40"/>
      <c r="G983" s="40"/>
    </row>
    <row r="984" spans="1:7">
      <c r="A984" s="39"/>
      <c r="B984" s="39"/>
      <c r="C984" s="39"/>
      <c r="D984" s="39"/>
      <c r="E984" s="39"/>
      <c r="F984" s="39"/>
      <c r="G984" s="39"/>
    </row>
    <row r="985" spans="1:7">
      <c r="A985" s="40"/>
      <c r="B985" s="40"/>
      <c r="C985" s="40"/>
      <c r="D985" s="40"/>
      <c r="E985" s="40"/>
      <c r="F985" s="40"/>
      <c r="G985" s="40"/>
    </row>
    <row r="986" spans="1:7">
      <c r="A986" s="39"/>
      <c r="B986" s="39"/>
      <c r="C986" s="39"/>
      <c r="D986" s="39"/>
      <c r="E986" s="39"/>
      <c r="F986" s="39"/>
      <c r="G986" s="39"/>
    </row>
    <row r="987" spans="1:7">
      <c r="A987" s="40"/>
      <c r="B987" s="40"/>
      <c r="C987" s="40"/>
      <c r="D987" s="40"/>
      <c r="E987" s="40"/>
      <c r="F987" s="40"/>
      <c r="G987" s="40"/>
    </row>
    <row r="988" spans="1:7">
      <c r="A988" s="39"/>
      <c r="B988" s="39"/>
      <c r="C988" s="39"/>
      <c r="D988" s="39"/>
      <c r="E988" s="39"/>
      <c r="F988" s="39"/>
      <c r="G988" s="39"/>
    </row>
    <row r="989" spans="1:7">
      <c r="A989" s="40"/>
      <c r="B989" s="40"/>
      <c r="C989" s="40"/>
      <c r="D989" s="40"/>
      <c r="E989" s="40"/>
      <c r="F989" s="40"/>
      <c r="G989" s="40"/>
    </row>
    <row r="990" spans="1:7">
      <c r="A990" s="39"/>
      <c r="B990" s="39"/>
      <c r="C990" s="39"/>
      <c r="D990" s="39"/>
      <c r="E990" s="39"/>
      <c r="F990" s="39"/>
      <c r="G990" s="39"/>
    </row>
    <row r="991" spans="1:7">
      <c r="A991" s="40"/>
      <c r="B991" s="40"/>
      <c r="C991" s="40"/>
      <c r="D991" s="40"/>
      <c r="E991" s="40"/>
      <c r="F991" s="40"/>
      <c r="G991" s="40"/>
    </row>
    <row r="992" spans="1:7">
      <c r="A992" s="39"/>
      <c r="B992" s="39"/>
      <c r="C992" s="39"/>
      <c r="D992" s="39"/>
      <c r="E992" s="39"/>
      <c r="F992" s="39"/>
      <c r="G992" s="39"/>
    </row>
    <row r="993" spans="1:7">
      <c r="A993" s="40"/>
      <c r="B993" s="40"/>
      <c r="C993" s="40"/>
      <c r="D993" s="40"/>
      <c r="E993" s="40"/>
      <c r="F993" s="40"/>
      <c r="G993" s="40"/>
    </row>
    <row r="994" spans="1:7">
      <c r="A994" s="39"/>
      <c r="B994" s="39"/>
      <c r="C994" s="39"/>
      <c r="D994" s="39"/>
      <c r="E994" s="39"/>
      <c r="F994" s="39"/>
      <c r="G994" s="39"/>
    </row>
    <row r="995" spans="1:7">
      <c r="A995" s="40"/>
      <c r="B995" s="40"/>
      <c r="C995" s="40"/>
      <c r="D995" s="40"/>
      <c r="E995" s="40"/>
      <c r="F995" s="40"/>
      <c r="G995" s="40"/>
    </row>
    <row r="996" spans="1:7">
      <c r="A996" s="39"/>
      <c r="B996" s="39"/>
      <c r="C996" s="39"/>
      <c r="D996" s="39"/>
      <c r="E996" s="39"/>
      <c r="F996" s="39"/>
      <c r="G996" s="39"/>
    </row>
    <row r="997" spans="1:7">
      <c r="A997" s="40"/>
      <c r="B997" s="40"/>
      <c r="C997" s="40"/>
      <c r="D997" s="40"/>
      <c r="E997" s="40"/>
      <c r="F997" s="40"/>
      <c r="G997" s="40"/>
    </row>
    <row r="998" spans="1:7">
      <c r="A998" s="39"/>
      <c r="B998" s="39"/>
      <c r="C998" s="39"/>
      <c r="D998" s="39"/>
      <c r="E998" s="39"/>
      <c r="F998" s="39"/>
      <c r="G998" s="39"/>
    </row>
    <row r="999" spans="1:7">
      <c r="A999" s="40"/>
      <c r="B999" s="40"/>
      <c r="C999" s="40"/>
      <c r="D999" s="40"/>
      <c r="E999" s="40"/>
      <c r="F999" s="40"/>
      <c r="G999" s="40"/>
    </row>
    <row r="1000" spans="1:7">
      <c r="A1000" s="39"/>
      <c r="B1000" s="39"/>
      <c r="C1000" s="39"/>
      <c r="D1000" s="39"/>
      <c r="E1000" s="39"/>
      <c r="F1000" s="39"/>
      <c r="G1000" s="39"/>
    </row>
    <row r="1001" spans="1:7">
      <c r="A1001" s="40"/>
      <c r="B1001" s="40"/>
      <c r="C1001" s="40"/>
      <c r="D1001" s="40"/>
      <c r="E1001" s="40"/>
      <c r="F1001" s="40"/>
      <c r="G1001" s="40"/>
    </row>
    <row r="1002" spans="1:7">
      <c r="A1002" s="39"/>
      <c r="B1002" s="39"/>
      <c r="C1002" s="39"/>
      <c r="D1002" s="39"/>
      <c r="E1002" s="39"/>
      <c r="F1002" s="39"/>
      <c r="G1002" s="39"/>
    </row>
    <row r="1003" spans="1:7">
      <c r="A1003" s="40"/>
      <c r="B1003" s="40"/>
      <c r="C1003" s="40"/>
      <c r="D1003" s="40"/>
      <c r="E1003" s="40"/>
      <c r="F1003" s="40"/>
      <c r="G1003" s="40"/>
    </row>
    <row r="1004" spans="1:7">
      <c r="A1004" s="39"/>
      <c r="B1004" s="39"/>
      <c r="C1004" s="39"/>
      <c r="D1004" s="39"/>
      <c r="E1004" s="39"/>
      <c r="F1004" s="39"/>
      <c r="G1004" s="39"/>
    </row>
    <row r="1005" spans="1:7">
      <c r="A1005" s="40"/>
      <c r="B1005" s="40"/>
      <c r="C1005" s="40"/>
      <c r="D1005" s="40"/>
      <c r="E1005" s="40"/>
      <c r="F1005" s="40"/>
      <c r="G1005" s="40"/>
    </row>
    <row r="1006" spans="1:7">
      <c r="A1006" s="39"/>
      <c r="B1006" s="39"/>
      <c r="C1006" s="39"/>
      <c r="D1006" s="39"/>
      <c r="E1006" s="39"/>
      <c r="F1006" s="39"/>
      <c r="G1006" s="39"/>
    </row>
    <row r="1007" spans="1:7">
      <c r="A1007" s="40"/>
      <c r="B1007" s="40"/>
      <c r="C1007" s="40"/>
      <c r="D1007" s="40"/>
      <c r="E1007" s="40"/>
      <c r="F1007" s="40"/>
      <c r="G1007" s="40"/>
    </row>
    <row r="1008" spans="1:7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Obs-Population</vt:lpstr>
      <vt:lpstr>Obs-Prevalence</vt:lpstr>
      <vt:lpstr>Obs-OnART</vt:lpstr>
      <vt:lpstr>Obs-Incidence</vt:lpstr>
      <vt:lpstr>Obs-ARTCoverage</vt:lpstr>
      <vt:lpstr>'Obs-ARTCoverage'!additional_columns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'Obs-ARTCoverage'!channel_name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'Obs-ARTCoverage'!csv</vt:lpstr>
      <vt:lpstr>'Obs-Incidence'!csv</vt:lpstr>
      <vt:lpstr>'Obs-OnART'!csv</vt:lpstr>
      <vt:lpstr>'Obs-Population'!csv</vt:lpstr>
      <vt:lpstr>'Obs-Prevalence'!csv</vt:lpstr>
      <vt:lpstr>Analyzers!custom_age_bins</vt:lpstr>
      <vt:lpstr>'Obs-ARTCoverage'!data_channels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'Obs-ARTCoverage'!stratifiers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Kirkman, IV</cp:lastModifiedBy>
  <dcterms:created xsi:type="dcterms:W3CDTF">2018-02-08T20:55:40Z</dcterms:created>
  <dcterms:modified xsi:type="dcterms:W3CDTF">2025-06-16T23:06:22Z</dcterms:modified>
</cp:coreProperties>
</file>